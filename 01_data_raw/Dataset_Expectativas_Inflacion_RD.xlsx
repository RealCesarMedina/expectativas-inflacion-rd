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os_Mensuales" sheetId="2" state="visible" r:id="rId4"/>
    <sheet name="Variables_Construidas" sheetId="3" state="visible" r:id="rId5"/>
    <sheet name="Estadisticas_Descriptiv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<sst xmlns="http://schemas.openxmlformats.org/spreadsheetml/2006/main" count="94" uniqueCount="80">
  <si>
    <t xml:space="preserve">Dataset macroeconómico - Análisis de expectativas de inflación República Dominicana</t>
  </si>
  <si>
    <t xml:space="preserve">Periodo de cobertura:</t>
  </si>
  <si>
    <t xml:space="preserve">Octubre 2009 – Diciembre 2024 (183 observaciones mensuales)</t>
  </si>
  <si>
    <t xml:space="preserve">Frecuencia:</t>
  </si>
  <si>
    <t xml:space="preserve">Mensual</t>
  </si>
  <si>
    <t xml:space="preserve">Autor del dataset:</t>
  </si>
  <si>
    <t xml:space="preserve">Compilado por C.E. Medina Tineo - UNIBE Maestría en Finanzas</t>
  </si>
  <si>
    <t xml:space="preserve">Fecha de compilación:</t>
  </si>
  <si>
    <t xml:space="preserve">Abril 2026</t>
  </si>
  <si>
    <t xml:space="preserve">▶ FUENTES</t>
  </si>
  <si>
    <t xml:space="preserve">Inflación interanual:</t>
  </si>
  <si>
    <t xml:space="preserve">BCRD - Informes Mensuales del IPC. Verificada con calculador IPC oficial. URL: https://bancentral.gov.do/a/ipc-consulta</t>
  </si>
  <si>
    <t xml:space="preserve">TPM:</t>
  </si>
  <si>
    <t xml:space="preserve">BCRD - Comunicados de Política Monetaria mensuales. URL: https://www.bancentral.gov.do/a/d/2575</t>
  </si>
  <si>
    <t xml:space="preserve">Tipo de cambio DOP/USD:</t>
  </si>
  <si>
    <t xml:space="preserve">BCRD - Mercado Cambiario, tasa promedio de venta. URL: https://www.bancentral.gov.do/SectorExterno/HistoricoTasas</t>
  </si>
  <si>
    <t xml:space="preserve">PIB real interanual:</t>
  </si>
  <si>
    <t xml:space="preserve">BCRD - IMAE (Indicador Mensual de Actividad Económica) y Cuentas Nacionales trimestrales.</t>
  </si>
  <si>
    <t xml:space="preserve">Mediana EEM (12m):</t>
  </si>
  <si>
    <t xml:space="preserve">*** SERIE CALIBRADA *** El Banco Central no publica un Excel histórico de la EEM en URL pública directa. La columna aquí usa la calibración: E[π] = 0.35·meta + 0.65·MA6(π) + ε, siguiendo Jiménez-López (2014). REEMPLAZAR con datos oficiales antes del análisis final.</t>
  </si>
  <si>
    <t xml:space="preserve">▶ ESTRUCTURA DEL ARCHIVO</t>
  </si>
  <si>
    <t xml:space="preserve">Hoja 'README':</t>
  </si>
  <si>
    <t xml:space="preserve">Esta hoja - documentación de fuentes y notas metodológicas</t>
  </si>
  <si>
    <t xml:space="preserve">Hoja 'Datos_Mensuales':</t>
  </si>
  <si>
    <t xml:space="preserve">Series principales tal como vienen de las fuentes</t>
  </si>
  <si>
    <t xml:space="preserve">Hoja 'Variables_Construidas':</t>
  </si>
  <si>
    <t xml:space="preserve">Errores de pronóstico, rezagos, dummies, e indicadores derivados</t>
  </si>
  <si>
    <t xml:space="preserve">Hoja 'Estadisticas_Descriptivas':</t>
  </si>
  <si>
    <t xml:space="preserve">Resumen estadístico de las series</t>
  </si>
  <si>
    <t xml:space="preserve">▶ CONVENCIONES</t>
  </si>
  <si>
    <t xml:space="preserve">Inflación:</t>
  </si>
  <si>
    <t xml:space="preserve">% interanual al cierre del mes (variación 12 meses del IPC)</t>
  </si>
  <si>
    <t xml:space="preserve">Expectativa 12m:</t>
  </si>
  <si>
    <t xml:space="preserve">Mediana del consenso de analistas para inflación a 12 meses adelante</t>
  </si>
  <si>
    <t xml:space="preserve">Error de pronóstico:</t>
  </si>
  <si>
    <t xml:space="preserve">π_t - E[π_t | t-12] (realizado menos esperado hace 12 meses)</t>
  </si>
  <si>
    <t xml:space="preserve">Revisión:</t>
  </si>
  <si>
    <t xml:space="preserve">E[π_t | t] - E[π_t | t-1] (cambio mes a mes en la expectativa)</t>
  </si>
  <si>
    <t xml:space="preserve">▶ ADVERTENCIA IMPORTANTE</t>
  </si>
  <si>
    <t xml:space="preserve">Este archivo se construyó con datos publicados en informes oficiales del BCRD. Antes de presentar resultados académicos, verificar las cifras contra el calculador IPC oficial y la serie histórica de la EEM. Pueden existir revisiones posteriores no incorporadas. La columna de la EEM es CALIBRADA, no oficial, y debe ser sustituida con los datos reales de la encuesta antes de cualquier publicación o presentación académica.</t>
  </si>
  <si>
    <t xml:space="preserve">Fecha</t>
  </si>
  <si>
    <t xml:space="preserve">Año</t>
  </si>
  <si>
    <t xml:space="preserve">Mes</t>
  </si>
  <si>
    <t xml:space="preserve">Inflación interanual (%)</t>
  </si>
  <si>
    <t xml:space="preserve">Mediana EEM Exp. 12m (%) [CALIBRADA]</t>
  </si>
  <si>
    <t xml:space="preserve">TPM (%)</t>
  </si>
  <si>
    <t xml:space="preserve">DOP/USD (RD$)</t>
  </si>
  <si>
    <t xml:space="preserve">Var. TC interanual (%)</t>
  </si>
  <si>
    <t xml:space="preserve">PIB real interanual (%)</t>
  </si>
  <si>
    <t xml:space="preserve">Nota: La columna 'Mediana EEM' está CALIBRADA. Reemplazar con datos oficiales de la EEM del BCRD.</t>
  </si>
  <si>
    <t xml:space="preserve">Inflación π_t (%)</t>
  </si>
  <si>
    <t xml:space="preserve">Expectativa E[π_{t+12}] (%)</t>
  </si>
  <si>
    <t xml:space="preserve">Error de pronóstico e_t (p.p.)</t>
  </si>
  <si>
    <t xml:space="preserve">Error² e_t² (p.p.²)</t>
  </si>
  <si>
    <t xml:space="preserve">Revisión rev_t (p.p.)</t>
  </si>
  <si>
    <t xml:space="preserve">Error rezagado e_{t-12} (p.p.)</t>
  </si>
  <si>
    <t xml:space="preserve">Dummy pandemia (mar2020-dic2022)</t>
  </si>
  <si>
    <t xml:space="preserve">Estadísticas descriptivas de las series</t>
  </si>
  <si>
    <t xml:space="preserve">Variable</t>
  </si>
  <si>
    <t xml:space="preserve">N</t>
  </si>
  <si>
    <t xml:space="preserve">Media</t>
  </si>
  <si>
    <t xml:space="preserve">Mediana</t>
  </si>
  <si>
    <t xml:space="preserve">Desv. Est.</t>
  </si>
  <si>
    <t xml:space="preserve">Mínimo</t>
  </si>
  <si>
    <t xml:space="preserve">Máximo</t>
  </si>
  <si>
    <t xml:space="preserve">Fuente</t>
  </si>
  <si>
    <t xml:space="preserve">BCRD - Informes Mensuales del IPC</t>
  </si>
  <si>
    <t xml:space="preserve">Calibración (reemplazar con EEM oficial)</t>
  </si>
  <si>
    <t xml:space="preserve">BCRD - Comunicados de Política Monetaria</t>
  </si>
  <si>
    <t xml:space="preserve">DOP/USD</t>
  </si>
  <si>
    <t xml:space="preserve">BCRD - Mercado Cambiario</t>
  </si>
  <si>
    <t xml:space="preserve">BCRD - cálculo propio</t>
  </si>
  <si>
    <t xml:space="preserve">BCRD - IMAE / Cuentas Nacionales</t>
  </si>
  <si>
    <t xml:space="preserve">Por subperíodo</t>
  </si>
  <si>
    <t xml:space="preserve">Pre-pandemia (oct 2009 - feb 2020)</t>
  </si>
  <si>
    <t xml:space="preserve">Desv.</t>
  </si>
  <si>
    <t xml:space="preserve">Mín</t>
  </si>
  <si>
    <t xml:space="preserve">Máx</t>
  </si>
  <si>
    <t xml:space="preserve">Inflación</t>
  </si>
  <si>
    <t xml:space="preserve">Post-pandemia (mar 2020 - dic 2024)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</si>
</sst>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"/>
    <numFmt numFmtId="166" formatCode="0.00"/>
    <numFmt numFmtId="167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B9F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AA433F"/>
      <rgbColor rgb="FFFFF2CC"/>
      <rgbColor rgb="FFF2F2F2"/>
      <rgbColor rgb="FF660066"/>
      <rgbColor rgb="FFFF8080"/>
      <rgbColor rgb="FF2E5B9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C8F8E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Inflación realizada vs. expectativa a 12 meses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Datos_Mensuales!D1</c:f>
              <c:strCache>
                <c:ptCount val="1"/>
                <c:pt idx="0">
                  <c:v>Inflación interanual (%)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Datos_Mensuales!$A$2:$A$184</c:f>
              <c:strCache>
                <c:ptCount val="183"/>
                <c:pt idx="0">
                  <c:v>2009-10</c:v>
                </c:pt>
                <c:pt idx="1">
                  <c:v>2009-11</c:v>
                </c:pt>
                <c:pt idx="2">
                  <c:v>2009-12</c:v>
                </c:pt>
                <c:pt idx="3">
                  <c:v>2010-01</c:v>
                </c:pt>
                <c:pt idx="4">
                  <c:v>2010-02</c:v>
                </c:pt>
                <c:pt idx="5">
                  <c:v>2010-03</c:v>
                </c:pt>
                <c:pt idx="6">
                  <c:v>2010-04</c:v>
                </c:pt>
                <c:pt idx="7">
                  <c:v>2010-05</c:v>
                </c:pt>
                <c:pt idx="8">
                  <c:v>2010-06</c:v>
                </c:pt>
                <c:pt idx="9">
                  <c:v>2010-07</c:v>
                </c:pt>
                <c:pt idx="10">
                  <c:v>2010-08</c:v>
                </c:pt>
                <c:pt idx="11">
                  <c:v>2010-09</c:v>
                </c:pt>
                <c:pt idx="12">
                  <c:v>2010-10</c:v>
                </c:pt>
                <c:pt idx="13">
                  <c:v>2010-11</c:v>
                </c:pt>
                <c:pt idx="14">
                  <c:v>2010-12</c:v>
                </c:pt>
                <c:pt idx="15">
                  <c:v>2011-01</c:v>
                </c:pt>
                <c:pt idx="16">
                  <c:v>2011-02</c:v>
                </c:pt>
                <c:pt idx="17">
                  <c:v>2011-03</c:v>
                </c:pt>
                <c:pt idx="18">
                  <c:v>2011-04</c:v>
                </c:pt>
                <c:pt idx="19">
                  <c:v>2011-05</c:v>
                </c:pt>
                <c:pt idx="20">
                  <c:v>2011-06</c:v>
                </c:pt>
                <c:pt idx="21">
                  <c:v>2011-07</c:v>
                </c:pt>
                <c:pt idx="22">
                  <c:v>2011-08</c:v>
                </c:pt>
                <c:pt idx="23">
                  <c:v>2011-09</c:v>
                </c:pt>
                <c:pt idx="24">
                  <c:v>2011-10</c:v>
                </c:pt>
                <c:pt idx="25">
                  <c:v>2011-11</c:v>
                </c:pt>
                <c:pt idx="26">
                  <c:v>2011-12</c:v>
                </c:pt>
                <c:pt idx="27">
                  <c:v>2012-01</c:v>
                </c:pt>
                <c:pt idx="28">
                  <c:v>2012-02</c:v>
                </c:pt>
                <c:pt idx="29">
                  <c:v>2012-03</c:v>
                </c:pt>
                <c:pt idx="30">
                  <c:v>2012-04</c:v>
                </c:pt>
                <c:pt idx="31">
                  <c:v>2012-05</c:v>
                </c:pt>
                <c:pt idx="32">
                  <c:v>2012-06</c:v>
                </c:pt>
                <c:pt idx="33">
                  <c:v>2012-07</c:v>
                </c:pt>
                <c:pt idx="34">
                  <c:v>2012-08</c:v>
                </c:pt>
                <c:pt idx="35">
                  <c:v>2012-09</c:v>
                </c:pt>
                <c:pt idx="36">
                  <c:v>2012-10</c:v>
                </c:pt>
                <c:pt idx="37">
                  <c:v>2012-11</c:v>
                </c:pt>
                <c:pt idx="38">
                  <c:v>2012-12</c:v>
                </c:pt>
                <c:pt idx="39">
                  <c:v>2013-01</c:v>
                </c:pt>
                <c:pt idx="40">
                  <c:v>2013-02</c:v>
                </c:pt>
                <c:pt idx="41">
                  <c:v>2013-03</c:v>
                </c:pt>
                <c:pt idx="42">
                  <c:v>2013-04</c:v>
                </c:pt>
                <c:pt idx="43">
                  <c:v>2013-05</c:v>
                </c:pt>
                <c:pt idx="44">
                  <c:v>2013-06</c:v>
                </c:pt>
                <c:pt idx="45">
                  <c:v>2013-07</c:v>
                </c:pt>
                <c:pt idx="46">
                  <c:v>2013-08</c:v>
                </c:pt>
                <c:pt idx="47">
                  <c:v>2013-09</c:v>
                </c:pt>
                <c:pt idx="48">
                  <c:v>2013-10</c:v>
                </c:pt>
                <c:pt idx="49">
                  <c:v>2013-11</c:v>
                </c:pt>
                <c:pt idx="50">
                  <c:v>2013-12</c:v>
                </c:pt>
                <c:pt idx="51">
                  <c:v>2014-01</c:v>
                </c:pt>
                <c:pt idx="52">
                  <c:v>2014-02</c:v>
                </c:pt>
                <c:pt idx="53">
                  <c:v>2014-03</c:v>
                </c:pt>
                <c:pt idx="54">
                  <c:v>2014-04</c:v>
                </c:pt>
                <c:pt idx="55">
                  <c:v>2014-05</c:v>
                </c:pt>
                <c:pt idx="56">
                  <c:v>2014-06</c:v>
                </c:pt>
                <c:pt idx="57">
                  <c:v>2014-07</c:v>
                </c:pt>
                <c:pt idx="58">
                  <c:v>2014-08</c:v>
                </c:pt>
                <c:pt idx="59">
                  <c:v>2014-09</c:v>
                </c:pt>
                <c:pt idx="60">
                  <c:v>2014-10</c:v>
                </c:pt>
                <c:pt idx="61">
                  <c:v>2014-11</c:v>
                </c:pt>
                <c:pt idx="62">
                  <c:v>2014-12</c:v>
                </c:pt>
                <c:pt idx="63">
                  <c:v>2015-01</c:v>
                </c:pt>
                <c:pt idx="64">
                  <c:v>2015-02</c:v>
                </c:pt>
                <c:pt idx="65">
                  <c:v>2015-03</c:v>
                </c:pt>
                <c:pt idx="66">
                  <c:v>2015-04</c:v>
                </c:pt>
                <c:pt idx="67">
                  <c:v>2015-05</c:v>
                </c:pt>
                <c:pt idx="68">
                  <c:v>2015-06</c:v>
                </c:pt>
                <c:pt idx="69">
                  <c:v>2015-07</c:v>
                </c:pt>
                <c:pt idx="70">
                  <c:v>2015-08</c:v>
                </c:pt>
                <c:pt idx="71">
                  <c:v>2015-09</c:v>
                </c:pt>
                <c:pt idx="72">
                  <c:v>2015-10</c:v>
                </c:pt>
                <c:pt idx="73">
                  <c:v>2015-11</c:v>
                </c:pt>
                <c:pt idx="74">
                  <c:v>2015-12</c:v>
                </c:pt>
                <c:pt idx="75">
                  <c:v>2016-01</c:v>
                </c:pt>
                <c:pt idx="76">
                  <c:v>2016-02</c:v>
                </c:pt>
                <c:pt idx="77">
                  <c:v>2016-03</c:v>
                </c:pt>
                <c:pt idx="78">
                  <c:v>2016-04</c:v>
                </c:pt>
                <c:pt idx="79">
                  <c:v>2016-05</c:v>
                </c:pt>
                <c:pt idx="80">
                  <c:v>2016-06</c:v>
                </c:pt>
                <c:pt idx="81">
                  <c:v>2016-07</c:v>
                </c:pt>
                <c:pt idx="82">
                  <c:v>2016-08</c:v>
                </c:pt>
                <c:pt idx="83">
                  <c:v>2016-09</c:v>
                </c:pt>
                <c:pt idx="84">
                  <c:v>2016-10</c:v>
                </c:pt>
                <c:pt idx="85">
                  <c:v>2016-11</c:v>
                </c:pt>
                <c:pt idx="86">
                  <c:v>2016-12</c:v>
                </c:pt>
                <c:pt idx="87">
                  <c:v>2017-01</c:v>
                </c:pt>
                <c:pt idx="88">
                  <c:v>2017-02</c:v>
                </c:pt>
                <c:pt idx="89">
                  <c:v>2017-03</c:v>
                </c:pt>
                <c:pt idx="90">
                  <c:v>2017-04</c:v>
                </c:pt>
                <c:pt idx="91">
                  <c:v>2017-05</c:v>
                </c:pt>
                <c:pt idx="92">
                  <c:v>2017-06</c:v>
                </c:pt>
                <c:pt idx="93">
                  <c:v>2017-07</c:v>
                </c:pt>
                <c:pt idx="94">
                  <c:v>2017-08</c:v>
                </c:pt>
                <c:pt idx="95">
                  <c:v>2017-09</c:v>
                </c:pt>
                <c:pt idx="96">
                  <c:v>2017-10</c:v>
                </c:pt>
                <c:pt idx="97">
                  <c:v>2017-11</c:v>
                </c:pt>
                <c:pt idx="98">
                  <c:v>2017-12</c:v>
                </c:pt>
                <c:pt idx="99">
                  <c:v>2018-01</c:v>
                </c:pt>
                <c:pt idx="100">
                  <c:v>2018-02</c:v>
                </c:pt>
                <c:pt idx="101">
                  <c:v>2018-03</c:v>
                </c:pt>
                <c:pt idx="102">
                  <c:v>2018-04</c:v>
                </c:pt>
                <c:pt idx="103">
                  <c:v>2018-05</c:v>
                </c:pt>
                <c:pt idx="104">
                  <c:v>2018-06</c:v>
                </c:pt>
                <c:pt idx="105">
                  <c:v>2018-07</c:v>
                </c:pt>
                <c:pt idx="106">
                  <c:v>2018-08</c:v>
                </c:pt>
                <c:pt idx="107">
                  <c:v>2018-09</c:v>
                </c:pt>
                <c:pt idx="108">
                  <c:v>2018-10</c:v>
                </c:pt>
                <c:pt idx="109">
                  <c:v>2018-11</c:v>
                </c:pt>
                <c:pt idx="110">
                  <c:v>2018-12</c:v>
                </c:pt>
                <c:pt idx="111">
                  <c:v>2019-01</c:v>
                </c:pt>
                <c:pt idx="112">
                  <c:v>2019-02</c:v>
                </c:pt>
                <c:pt idx="113">
                  <c:v>2019-03</c:v>
                </c:pt>
                <c:pt idx="114">
                  <c:v>2019-04</c:v>
                </c:pt>
                <c:pt idx="115">
                  <c:v>2019-05</c:v>
                </c:pt>
                <c:pt idx="116">
                  <c:v>2019-06</c:v>
                </c:pt>
                <c:pt idx="117">
                  <c:v>2019-07</c:v>
                </c:pt>
                <c:pt idx="118">
                  <c:v>2019-08</c:v>
                </c:pt>
                <c:pt idx="119">
                  <c:v>2019-09</c:v>
                </c:pt>
                <c:pt idx="120">
                  <c:v>2019-10</c:v>
                </c:pt>
                <c:pt idx="121">
                  <c:v>2019-11</c:v>
                </c:pt>
                <c:pt idx="122">
                  <c:v>2019-12</c:v>
                </c:pt>
                <c:pt idx="123">
                  <c:v>2020-01</c:v>
                </c:pt>
                <c:pt idx="124">
                  <c:v>2020-02</c:v>
                </c:pt>
                <c:pt idx="125">
                  <c:v>2020-03</c:v>
                </c:pt>
                <c:pt idx="126">
                  <c:v>2020-04</c:v>
                </c:pt>
                <c:pt idx="127">
                  <c:v>2020-05</c:v>
                </c:pt>
                <c:pt idx="128">
                  <c:v>2020-06</c:v>
                </c:pt>
                <c:pt idx="129">
                  <c:v>2020-07</c:v>
                </c:pt>
                <c:pt idx="130">
                  <c:v>2020-08</c:v>
                </c:pt>
                <c:pt idx="131">
                  <c:v>2020-09</c:v>
                </c:pt>
                <c:pt idx="132">
                  <c:v>2020-10</c:v>
                </c:pt>
                <c:pt idx="133">
                  <c:v>2020-11</c:v>
                </c:pt>
                <c:pt idx="134">
                  <c:v>2020-12</c:v>
                </c:pt>
                <c:pt idx="135">
                  <c:v>2021-01</c:v>
                </c:pt>
                <c:pt idx="136">
                  <c:v>2021-02</c:v>
                </c:pt>
                <c:pt idx="137">
                  <c:v>2021-03</c:v>
                </c:pt>
                <c:pt idx="138">
                  <c:v>2021-04</c:v>
                </c:pt>
                <c:pt idx="139">
                  <c:v>2021-05</c:v>
                </c:pt>
                <c:pt idx="140">
                  <c:v>2021-06</c:v>
                </c:pt>
                <c:pt idx="141">
                  <c:v>2021-07</c:v>
                </c:pt>
                <c:pt idx="142">
                  <c:v>2021-08</c:v>
                </c:pt>
                <c:pt idx="143">
                  <c:v>2021-09</c:v>
                </c:pt>
                <c:pt idx="144">
                  <c:v>2021-10</c:v>
                </c:pt>
                <c:pt idx="145">
                  <c:v>2021-11</c:v>
                </c:pt>
                <c:pt idx="146">
                  <c:v>2021-12</c:v>
                </c:pt>
                <c:pt idx="147">
                  <c:v>2022-01</c:v>
                </c:pt>
                <c:pt idx="148">
                  <c:v>2022-02</c:v>
                </c:pt>
                <c:pt idx="149">
                  <c:v>2022-03</c:v>
                </c:pt>
                <c:pt idx="150">
                  <c:v>2022-04</c:v>
                </c:pt>
                <c:pt idx="151">
                  <c:v>2022-05</c:v>
                </c:pt>
                <c:pt idx="152">
                  <c:v>2022-06</c:v>
                </c:pt>
                <c:pt idx="153">
                  <c:v>2022-07</c:v>
                </c:pt>
                <c:pt idx="154">
                  <c:v>2022-08</c:v>
                </c:pt>
                <c:pt idx="155">
                  <c:v>2022-09</c:v>
                </c:pt>
                <c:pt idx="156">
                  <c:v>2022-10</c:v>
                </c:pt>
                <c:pt idx="157">
                  <c:v>2022-11</c:v>
                </c:pt>
                <c:pt idx="158">
                  <c:v>2022-12</c:v>
                </c:pt>
                <c:pt idx="159">
                  <c:v>2023-01</c:v>
                </c:pt>
                <c:pt idx="160">
                  <c:v>2023-02</c:v>
                </c:pt>
                <c:pt idx="161">
                  <c:v>2023-03</c:v>
                </c:pt>
                <c:pt idx="162">
                  <c:v>2023-04</c:v>
                </c:pt>
                <c:pt idx="163">
                  <c:v>2023-05</c:v>
                </c:pt>
                <c:pt idx="164">
                  <c:v>2023-06</c:v>
                </c:pt>
                <c:pt idx="165">
                  <c:v>2023-07</c:v>
                </c:pt>
                <c:pt idx="166">
                  <c:v>2023-08</c:v>
                </c:pt>
                <c:pt idx="167">
                  <c:v>2023-09</c:v>
                </c:pt>
                <c:pt idx="168">
                  <c:v>2023-10</c:v>
                </c:pt>
                <c:pt idx="169">
                  <c:v>2023-11</c:v>
                </c:pt>
                <c:pt idx="170">
                  <c:v>2023-12</c:v>
                </c:pt>
                <c:pt idx="171">
                  <c:v>2024-01</c:v>
                </c:pt>
                <c:pt idx="172">
                  <c:v>2024-02</c:v>
                </c:pt>
                <c:pt idx="173">
                  <c:v>2024-03</c:v>
                </c:pt>
                <c:pt idx="174">
                  <c:v>2024-04</c:v>
                </c:pt>
                <c:pt idx="175">
                  <c:v>2024-05</c:v>
                </c:pt>
                <c:pt idx="176">
                  <c:v>2024-06</c:v>
                </c:pt>
                <c:pt idx="177">
                  <c:v>2024-07</c:v>
                </c:pt>
                <c:pt idx="178">
                  <c:v>2024-08</c:v>
                </c:pt>
                <c:pt idx="179">
                  <c:v>2024-09</c:v>
                </c:pt>
                <c:pt idx="180">
                  <c:v>2024-10</c:v>
                </c:pt>
                <c:pt idx="181">
                  <c:v>2024-11</c:v>
                </c:pt>
                <c:pt idx="182">
                  <c:v>2024-12</c:v>
                </c:pt>
              </c:strCache>
            </c:strRef>
          </c:cat>
          <c:val>
            <c:numRef>
              <c:f>Datos_Mensuales!$D$2:$D$184</c:f>
              <c:numCache>
                <c:formatCode>0.00</c:formatCode>
                <c:ptCount val="183"/>
                <c:pt idx="0">
                  <c:v>5.2</c:v>
                </c:pt>
                <c:pt idx="1">
                  <c:v>5.71</c:v>
                </c:pt>
                <c:pt idx="2">
                  <c:v>5.76</c:v>
                </c:pt>
                <c:pt idx="3">
                  <c:v>6.16</c:v>
                </c:pt>
                <c:pt idx="4">
                  <c:v>6.2</c:v>
                </c:pt>
                <c:pt idx="5">
                  <c:v>6.31</c:v>
                </c:pt>
                <c:pt idx="6">
                  <c:v>6.34</c:v>
                </c:pt>
                <c:pt idx="7">
                  <c:v>5.86</c:v>
                </c:pt>
                <c:pt idx="8">
                  <c:v>6.11</c:v>
                </c:pt>
                <c:pt idx="9">
                  <c:v>6.45</c:v>
                </c:pt>
                <c:pt idx="10">
                  <c:v>6.29</c:v>
                </c:pt>
                <c:pt idx="11">
                  <c:v>6.14</c:v>
                </c:pt>
                <c:pt idx="12">
                  <c:v>6.32</c:v>
                </c:pt>
                <c:pt idx="13">
                  <c:v>6.22</c:v>
                </c:pt>
                <c:pt idx="14">
                  <c:v>6.24</c:v>
                </c:pt>
                <c:pt idx="15">
                  <c:v>6.38</c:v>
                </c:pt>
                <c:pt idx="16">
                  <c:v>6.94</c:v>
                </c:pt>
                <c:pt idx="17">
                  <c:v>7.85</c:v>
                </c:pt>
                <c:pt idx="18">
                  <c:v>8.45</c:v>
                </c:pt>
                <c:pt idx="19">
                  <c:v>9.01</c:v>
                </c:pt>
                <c:pt idx="20">
                  <c:v>8.9</c:v>
                </c:pt>
                <c:pt idx="21">
                  <c:v>8.08</c:v>
                </c:pt>
                <c:pt idx="22">
                  <c:v>8.46</c:v>
                </c:pt>
                <c:pt idx="23">
                  <c:v>8.31</c:v>
                </c:pt>
                <c:pt idx="24">
                  <c:v>7.91</c:v>
                </c:pt>
                <c:pt idx="25">
                  <c:v>7.79</c:v>
                </c:pt>
                <c:pt idx="26">
                  <c:v>7.76</c:v>
                </c:pt>
                <c:pt idx="27">
                  <c:v>7.31</c:v>
                </c:pt>
                <c:pt idx="28">
                  <c:v>6.73</c:v>
                </c:pt>
                <c:pt idx="29">
                  <c:v>5.39</c:v>
                </c:pt>
                <c:pt idx="30">
                  <c:v>4.46</c:v>
                </c:pt>
                <c:pt idx="31">
                  <c:v>3.61</c:v>
                </c:pt>
                <c:pt idx="32">
                  <c:v>3.67</c:v>
                </c:pt>
                <c:pt idx="33">
                  <c:v>4.2</c:v>
                </c:pt>
                <c:pt idx="34">
                  <c:v>3.48</c:v>
                </c:pt>
                <c:pt idx="35">
                  <c:v>3.54</c:v>
                </c:pt>
                <c:pt idx="36">
                  <c:v>3.78</c:v>
                </c:pt>
                <c:pt idx="37">
                  <c:v>3.91</c:v>
                </c:pt>
                <c:pt idx="38">
                  <c:v>3.91</c:v>
                </c:pt>
                <c:pt idx="39">
                  <c:v>4.66</c:v>
                </c:pt>
                <c:pt idx="40">
                  <c:v>4.85</c:v>
                </c:pt>
                <c:pt idx="41">
                  <c:v>5.22</c:v>
                </c:pt>
                <c:pt idx="42">
                  <c:v>4.91</c:v>
                </c:pt>
                <c:pt idx="43">
                  <c:v>5.58</c:v>
                </c:pt>
                <c:pt idx="44">
                  <c:v>5.42</c:v>
                </c:pt>
                <c:pt idx="45">
                  <c:v>4.45</c:v>
                </c:pt>
                <c:pt idx="46">
                  <c:v>4.66</c:v>
                </c:pt>
                <c:pt idx="47">
                  <c:v>4.85</c:v>
                </c:pt>
                <c:pt idx="48">
                  <c:v>4.61</c:v>
                </c:pt>
                <c:pt idx="49">
                  <c:v>3.96</c:v>
                </c:pt>
                <c:pt idx="50">
                  <c:v>3.88</c:v>
                </c:pt>
                <c:pt idx="51">
                  <c:v>3.43</c:v>
                </c:pt>
                <c:pt idx="52">
                  <c:v>3.18</c:v>
                </c:pt>
                <c:pt idx="53">
                  <c:v>2.95</c:v>
                </c:pt>
                <c:pt idx="54">
                  <c:v>3.05</c:v>
                </c:pt>
                <c:pt idx="55">
                  <c:v>2.49</c:v>
                </c:pt>
                <c:pt idx="56">
                  <c:v>2.42</c:v>
                </c:pt>
                <c:pt idx="57">
                  <c:v>3.03</c:v>
                </c:pt>
                <c:pt idx="58">
                  <c:v>2.84</c:v>
                </c:pt>
                <c:pt idx="59">
                  <c:v>2.59</c:v>
                </c:pt>
                <c:pt idx="60">
                  <c:v>2.41</c:v>
                </c:pt>
                <c:pt idx="61">
                  <c:v>2.5</c:v>
                </c:pt>
                <c:pt idx="62">
                  <c:v>1.58</c:v>
                </c:pt>
                <c:pt idx="63">
                  <c:v>0.82</c:v>
                </c:pt>
                <c:pt idx="64">
                  <c:v>0.16</c:v>
                </c:pt>
                <c:pt idx="65">
                  <c:v>0.04</c:v>
                </c:pt>
                <c:pt idx="66">
                  <c:v>0.34</c:v>
                </c:pt>
                <c:pt idx="67">
                  <c:v>0.46</c:v>
                </c:pt>
                <c:pt idx="68">
                  <c:v>0.61</c:v>
                </c:pt>
                <c:pt idx="69">
                  <c:v>0.2</c:v>
                </c:pt>
                <c:pt idx="70">
                  <c:v>0.43</c:v>
                </c:pt>
                <c:pt idx="71">
                  <c:v>0.54</c:v>
                </c:pt>
                <c:pt idx="72">
                  <c:v>1.13</c:v>
                </c:pt>
                <c:pt idx="73">
                  <c:v>1.62</c:v>
                </c:pt>
                <c:pt idx="74">
                  <c:v>2.34</c:v>
                </c:pt>
                <c:pt idx="75">
                  <c:v>2.18</c:v>
                </c:pt>
                <c:pt idx="76">
                  <c:v>2.55</c:v>
                </c:pt>
                <c:pt idx="77">
                  <c:v>1.7</c:v>
                </c:pt>
                <c:pt idx="78">
                  <c:v>1.62</c:v>
                </c:pt>
                <c:pt idx="79">
                  <c:v>1.46</c:v>
                </c:pt>
                <c:pt idx="80">
                  <c:v>1.62</c:v>
                </c:pt>
                <c:pt idx="81">
                  <c:v>1.61</c:v>
                </c:pt>
                <c:pt idx="82">
                  <c:v>1.21</c:v>
                </c:pt>
                <c:pt idx="83">
                  <c:v>1.14</c:v>
                </c:pt>
                <c:pt idx="84">
                  <c:v>0.96</c:v>
                </c:pt>
                <c:pt idx="85">
                  <c:v>1.34</c:v>
                </c:pt>
                <c:pt idx="86">
                  <c:v>1.7</c:v>
                </c:pt>
                <c:pt idx="87">
                  <c:v>2.33</c:v>
                </c:pt>
                <c:pt idx="88">
                  <c:v>3.2</c:v>
                </c:pt>
                <c:pt idx="89">
                  <c:v>3.25</c:v>
                </c:pt>
                <c:pt idx="90">
                  <c:v>3.05</c:v>
                </c:pt>
                <c:pt idx="91">
                  <c:v>3.21</c:v>
                </c:pt>
                <c:pt idx="92">
                  <c:v>3.11</c:v>
                </c:pt>
                <c:pt idx="93">
                  <c:v>3.41</c:v>
                </c:pt>
                <c:pt idx="94">
                  <c:v>3.66</c:v>
                </c:pt>
                <c:pt idx="95">
                  <c:v>4.06</c:v>
                </c:pt>
                <c:pt idx="96">
                  <c:v>4.27</c:v>
                </c:pt>
                <c:pt idx="97">
                  <c:v>4.18</c:v>
                </c:pt>
                <c:pt idx="98">
                  <c:v>4.2</c:v>
                </c:pt>
                <c:pt idx="99">
                  <c:v>4.37</c:v>
                </c:pt>
                <c:pt idx="100">
                  <c:v>3.93</c:v>
                </c:pt>
                <c:pt idx="101">
                  <c:v>3.91</c:v>
                </c:pt>
                <c:pt idx="102">
                  <c:v>3.62</c:v>
                </c:pt>
                <c:pt idx="103">
                  <c:v>4.14</c:v>
                </c:pt>
                <c:pt idx="104">
                  <c:v>4.62</c:v>
                </c:pt>
                <c:pt idx="105">
                  <c:v>4.43</c:v>
                </c:pt>
                <c:pt idx="106">
                  <c:v>4.04</c:v>
                </c:pt>
                <c:pt idx="107">
                  <c:v>3.32</c:v>
                </c:pt>
                <c:pt idx="108">
                  <c:v>3.06</c:v>
                </c:pt>
                <c:pt idx="109">
                  <c:v>1.55</c:v>
                </c:pt>
                <c:pt idx="110">
                  <c:v>1.17</c:v>
                </c:pt>
                <c:pt idx="111">
                  <c:v>1.2</c:v>
                </c:pt>
                <c:pt idx="112">
                  <c:v>1.1</c:v>
                </c:pt>
                <c:pt idx="113">
                  <c:v>1.4</c:v>
                </c:pt>
                <c:pt idx="114">
                  <c:v>1.46</c:v>
                </c:pt>
                <c:pt idx="115">
                  <c:v>1.48</c:v>
                </c:pt>
                <c:pt idx="116">
                  <c:v>1.18</c:v>
                </c:pt>
                <c:pt idx="117">
                  <c:v>1.13</c:v>
                </c:pt>
                <c:pt idx="118">
                  <c:v>1.25</c:v>
                </c:pt>
                <c:pt idx="119">
                  <c:v>1.74</c:v>
                </c:pt>
                <c:pt idx="120">
                  <c:v>2.01</c:v>
                </c:pt>
                <c:pt idx="121">
                  <c:v>3.17</c:v>
                </c:pt>
                <c:pt idx="122">
                  <c:v>3.66</c:v>
                </c:pt>
                <c:pt idx="123">
                  <c:v>4.07</c:v>
                </c:pt>
                <c:pt idx="124">
                  <c:v>4.12</c:v>
                </c:pt>
                <c:pt idx="125">
                  <c:v>3.27</c:v>
                </c:pt>
                <c:pt idx="126">
                  <c:v>1.75</c:v>
                </c:pt>
                <c:pt idx="127">
                  <c:v>2.32</c:v>
                </c:pt>
                <c:pt idx="128">
                  <c:v>2.94</c:v>
                </c:pt>
                <c:pt idx="129">
                  <c:v>3.18</c:v>
                </c:pt>
                <c:pt idx="130">
                  <c:v>3.85</c:v>
                </c:pt>
                <c:pt idx="131">
                  <c:v>4.39</c:v>
                </c:pt>
                <c:pt idx="132">
                  <c:v>4.77</c:v>
                </c:pt>
                <c:pt idx="133">
                  <c:v>5.4</c:v>
                </c:pt>
                <c:pt idx="134">
                  <c:v>5.55</c:v>
                </c:pt>
                <c:pt idx="135">
                  <c:v>6.1</c:v>
                </c:pt>
                <c:pt idx="136">
                  <c:v>6.36</c:v>
                </c:pt>
                <c:pt idx="137">
                  <c:v>7.02</c:v>
                </c:pt>
                <c:pt idx="138">
                  <c:v>9.3</c:v>
                </c:pt>
                <c:pt idx="139">
                  <c:v>9.32</c:v>
                </c:pt>
                <c:pt idx="140">
                  <c:v>8.68</c:v>
                </c:pt>
                <c:pt idx="141">
                  <c:v>7.93</c:v>
                </c:pt>
                <c:pt idx="142">
                  <c:v>7.73</c:v>
                </c:pt>
                <c:pt idx="143">
                  <c:v>7.72</c:v>
                </c:pt>
                <c:pt idx="144">
                  <c:v>7.72</c:v>
                </c:pt>
                <c:pt idx="145">
                  <c:v>8.23</c:v>
                </c:pt>
                <c:pt idx="146">
                  <c:v>8.5</c:v>
                </c:pt>
                <c:pt idx="147">
                  <c:v>8.73</c:v>
                </c:pt>
                <c:pt idx="148">
                  <c:v>9.05</c:v>
                </c:pt>
                <c:pt idx="149">
                  <c:v>9.05</c:v>
                </c:pt>
                <c:pt idx="150">
                  <c:v>9.64</c:v>
                </c:pt>
                <c:pt idx="151">
                  <c:v>9.47</c:v>
                </c:pt>
                <c:pt idx="152">
                  <c:v>9.32</c:v>
                </c:pt>
                <c:pt idx="153">
                  <c:v>8.8</c:v>
                </c:pt>
                <c:pt idx="154">
                  <c:v>8.8</c:v>
                </c:pt>
                <c:pt idx="155">
                  <c:v>8.62</c:v>
                </c:pt>
                <c:pt idx="156">
                  <c:v>8.24</c:v>
                </c:pt>
                <c:pt idx="157">
                  <c:v>7.55</c:v>
                </c:pt>
                <c:pt idx="158">
                  <c:v>7.83</c:v>
                </c:pt>
                <c:pt idx="159">
                  <c:v>7.55</c:v>
                </c:pt>
                <c:pt idx="160">
                  <c:v>6.13</c:v>
                </c:pt>
                <c:pt idx="161">
                  <c:v>5.82</c:v>
                </c:pt>
                <c:pt idx="162">
                  <c:v>5.15</c:v>
                </c:pt>
                <c:pt idx="163">
                  <c:v>4.43</c:v>
                </c:pt>
                <c:pt idx="164">
                  <c:v>4</c:v>
                </c:pt>
                <c:pt idx="165">
                  <c:v>3.95</c:v>
                </c:pt>
                <c:pt idx="166">
                  <c:v>4.04</c:v>
                </c:pt>
                <c:pt idx="167">
                  <c:v>3.91</c:v>
                </c:pt>
                <c:pt idx="168">
                  <c:v>3.82</c:v>
                </c:pt>
                <c:pt idx="169">
                  <c:v>3.45</c:v>
                </c:pt>
                <c:pt idx="170">
                  <c:v>3.57</c:v>
                </c:pt>
                <c:pt idx="171">
                  <c:v>3.46</c:v>
                </c:pt>
                <c:pt idx="172">
                  <c:v>3.25</c:v>
                </c:pt>
                <c:pt idx="173">
                  <c:v>3.13</c:v>
                </c:pt>
                <c:pt idx="174">
                  <c:v>3.03</c:v>
                </c:pt>
                <c:pt idx="175">
                  <c:v>3.16</c:v>
                </c:pt>
                <c:pt idx="176">
                  <c:v>3.45</c:v>
                </c:pt>
                <c:pt idx="177">
                  <c:v>3.54</c:v>
                </c:pt>
                <c:pt idx="178">
                  <c:v>3.42</c:v>
                </c:pt>
                <c:pt idx="179">
                  <c:v>3.29</c:v>
                </c:pt>
                <c:pt idx="180">
                  <c:v>3.16</c:v>
                </c:pt>
                <c:pt idx="181">
                  <c:v>3.18</c:v>
                </c:pt>
                <c:pt idx="182">
                  <c:v>3.35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Datos_Mensuales!E1</c:f>
              <c:strCache>
                <c:ptCount val="1"/>
                <c:pt idx="0">
                  <c:v>Mediana EEM Exp. 12m (%) [CALIBRADA]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Datos_Mensuales!$A$2:$A$184</c:f>
              <c:strCache>
                <c:ptCount val="183"/>
                <c:pt idx="0">
                  <c:v>2009-10</c:v>
                </c:pt>
                <c:pt idx="1">
                  <c:v>2009-11</c:v>
                </c:pt>
                <c:pt idx="2">
                  <c:v>2009-12</c:v>
                </c:pt>
                <c:pt idx="3">
                  <c:v>2010-01</c:v>
                </c:pt>
                <c:pt idx="4">
                  <c:v>2010-02</c:v>
                </c:pt>
                <c:pt idx="5">
                  <c:v>2010-03</c:v>
                </c:pt>
                <c:pt idx="6">
                  <c:v>2010-04</c:v>
                </c:pt>
                <c:pt idx="7">
                  <c:v>2010-05</c:v>
                </c:pt>
                <c:pt idx="8">
                  <c:v>2010-06</c:v>
                </c:pt>
                <c:pt idx="9">
                  <c:v>2010-07</c:v>
                </c:pt>
                <c:pt idx="10">
                  <c:v>2010-08</c:v>
                </c:pt>
                <c:pt idx="11">
                  <c:v>2010-09</c:v>
                </c:pt>
                <c:pt idx="12">
                  <c:v>2010-10</c:v>
                </c:pt>
                <c:pt idx="13">
                  <c:v>2010-11</c:v>
                </c:pt>
                <c:pt idx="14">
                  <c:v>2010-12</c:v>
                </c:pt>
                <c:pt idx="15">
                  <c:v>2011-01</c:v>
                </c:pt>
                <c:pt idx="16">
                  <c:v>2011-02</c:v>
                </c:pt>
                <c:pt idx="17">
                  <c:v>2011-03</c:v>
                </c:pt>
                <c:pt idx="18">
                  <c:v>2011-04</c:v>
                </c:pt>
                <c:pt idx="19">
                  <c:v>2011-05</c:v>
                </c:pt>
                <c:pt idx="20">
                  <c:v>2011-06</c:v>
                </c:pt>
                <c:pt idx="21">
                  <c:v>2011-07</c:v>
                </c:pt>
                <c:pt idx="22">
                  <c:v>2011-08</c:v>
                </c:pt>
                <c:pt idx="23">
                  <c:v>2011-09</c:v>
                </c:pt>
                <c:pt idx="24">
                  <c:v>2011-10</c:v>
                </c:pt>
                <c:pt idx="25">
                  <c:v>2011-11</c:v>
                </c:pt>
                <c:pt idx="26">
                  <c:v>2011-12</c:v>
                </c:pt>
                <c:pt idx="27">
                  <c:v>2012-01</c:v>
                </c:pt>
                <c:pt idx="28">
                  <c:v>2012-02</c:v>
                </c:pt>
                <c:pt idx="29">
                  <c:v>2012-03</c:v>
                </c:pt>
                <c:pt idx="30">
                  <c:v>2012-04</c:v>
                </c:pt>
                <c:pt idx="31">
                  <c:v>2012-05</c:v>
                </c:pt>
                <c:pt idx="32">
                  <c:v>2012-06</c:v>
                </c:pt>
                <c:pt idx="33">
                  <c:v>2012-07</c:v>
                </c:pt>
                <c:pt idx="34">
                  <c:v>2012-08</c:v>
                </c:pt>
                <c:pt idx="35">
                  <c:v>2012-09</c:v>
                </c:pt>
                <c:pt idx="36">
                  <c:v>2012-10</c:v>
                </c:pt>
                <c:pt idx="37">
                  <c:v>2012-11</c:v>
                </c:pt>
                <c:pt idx="38">
                  <c:v>2012-12</c:v>
                </c:pt>
                <c:pt idx="39">
                  <c:v>2013-01</c:v>
                </c:pt>
                <c:pt idx="40">
                  <c:v>2013-02</c:v>
                </c:pt>
                <c:pt idx="41">
                  <c:v>2013-03</c:v>
                </c:pt>
                <c:pt idx="42">
                  <c:v>2013-04</c:v>
                </c:pt>
                <c:pt idx="43">
                  <c:v>2013-05</c:v>
                </c:pt>
                <c:pt idx="44">
                  <c:v>2013-06</c:v>
                </c:pt>
                <c:pt idx="45">
                  <c:v>2013-07</c:v>
                </c:pt>
                <c:pt idx="46">
                  <c:v>2013-08</c:v>
                </c:pt>
                <c:pt idx="47">
                  <c:v>2013-09</c:v>
                </c:pt>
                <c:pt idx="48">
                  <c:v>2013-10</c:v>
                </c:pt>
                <c:pt idx="49">
                  <c:v>2013-11</c:v>
                </c:pt>
                <c:pt idx="50">
                  <c:v>2013-12</c:v>
                </c:pt>
                <c:pt idx="51">
                  <c:v>2014-01</c:v>
                </c:pt>
                <c:pt idx="52">
                  <c:v>2014-02</c:v>
                </c:pt>
                <c:pt idx="53">
                  <c:v>2014-03</c:v>
                </c:pt>
                <c:pt idx="54">
                  <c:v>2014-04</c:v>
                </c:pt>
                <c:pt idx="55">
                  <c:v>2014-05</c:v>
                </c:pt>
                <c:pt idx="56">
                  <c:v>2014-06</c:v>
                </c:pt>
                <c:pt idx="57">
                  <c:v>2014-07</c:v>
                </c:pt>
                <c:pt idx="58">
                  <c:v>2014-08</c:v>
                </c:pt>
                <c:pt idx="59">
                  <c:v>2014-09</c:v>
                </c:pt>
                <c:pt idx="60">
                  <c:v>2014-10</c:v>
                </c:pt>
                <c:pt idx="61">
                  <c:v>2014-11</c:v>
                </c:pt>
                <c:pt idx="62">
                  <c:v>2014-12</c:v>
                </c:pt>
                <c:pt idx="63">
                  <c:v>2015-01</c:v>
                </c:pt>
                <c:pt idx="64">
                  <c:v>2015-02</c:v>
                </c:pt>
                <c:pt idx="65">
                  <c:v>2015-03</c:v>
                </c:pt>
                <c:pt idx="66">
                  <c:v>2015-04</c:v>
                </c:pt>
                <c:pt idx="67">
                  <c:v>2015-05</c:v>
                </c:pt>
                <c:pt idx="68">
                  <c:v>2015-06</c:v>
                </c:pt>
                <c:pt idx="69">
                  <c:v>2015-07</c:v>
                </c:pt>
                <c:pt idx="70">
                  <c:v>2015-08</c:v>
                </c:pt>
                <c:pt idx="71">
                  <c:v>2015-09</c:v>
                </c:pt>
                <c:pt idx="72">
                  <c:v>2015-10</c:v>
                </c:pt>
                <c:pt idx="73">
                  <c:v>2015-11</c:v>
                </c:pt>
                <c:pt idx="74">
                  <c:v>2015-12</c:v>
                </c:pt>
                <c:pt idx="75">
                  <c:v>2016-01</c:v>
                </c:pt>
                <c:pt idx="76">
                  <c:v>2016-02</c:v>
                </c:pt>
                <c:pt idx="77">
                  <c:v>2016-03</c:v>
                </c:pt>
                <c:pt idx="78">
                  <c:v>2016-04</c:v>
                </c:pt>
                <c:pt idx="79">
                  <c:v>2016-05</c:v>
                </c:pt>
                <c:pt idx="80">
                  <c:v>2016-06</c:v>
                </c:pt>
                <c:pt idx="81">
                  <c:v>2016-07</c:v>
                </c:pt>
                <c:pt idx="82">
                  <c:v>2016-08</c:v>
                </c:pt>
                <c:pt idx="83">
                  <c:v>2016-09</c:v>
                </c:pt>
                <c:pt idx="84">
                  <c:v>2016-10</c:v>
                </c:pt>
                <c:pt idx="85">
                  <c:v>2016-11</c:v>
                </c:pt>
                <c:pt idx="86">
                  <c:v>2016-12</c:v>
                </c:pt>
                <c:pt idx="87">
                  <c:v>2017-01</c:v>
                </c:pt>
                <c:pt idx="88">
                  <c:v>2017-02</c:v>
                </c:pt>
                <c:pt idx="89">
                  <c:v>2017-03</c:v>
                </c:pt>
                <c:pt idx="90">
                  <c:v>2017-04</c:v>
                </c:pt>
                <c:pt idx="91">
                  <c:v>2017-05</c:v>
                </c:pt>
                <c:pt idx="92">
                  <c:v>2017-06</c:v>
                </c:pt>
                <c:pt idx="93">
                  <c:v>2017-07</c:v>
                </c:pt>
                <c:pt idx="94">
                  <c:v>2017-08</c:v>
                </c:pt>
                <c:pt idx="95">
                  <c:v>2017-09</c:v>
                </c:pt>
                <c:pt idx="96">
                  <c:v>2017-10</c:v>
                </c:pt>
                <c:pt idx="97">
                  <c:v>2017-11</c:v>
                </c:pt>
                <c:pt idx="98">
                  <c:v>2017-12</c:v>
                </c:pt>
                <c:pt idx="99">
                  <c:v>2018-01</c:v>
                </c:pt>
                <c:pt idx="100">
                  <c:v>2018-02</c:v>
                </c:pt>
                <c:pt idx="101">
                  <c:v>2018-03</c:v>
                </c:pt>
                <c:pt idx="102">
                  <c:v>2018-04</c:v>
                </c:pt>
                <c:pt idx="103">
                  <c:v>2018-05</c:v>
                </c:pt>
                <c:pt idx="104">
                  <c:v>2018-06</c:v>
                </c:pt>
                <c:pt idx="105">
                  <c:v>2018-07</c:v>
                </c:pt>
                <c:pt idx="106">
                  <c:v>2018-08</c:v>
                </c:pt>
                <c:pt idx="107">
                  <c:v>2018-09</c:v>
                </c:pt>
                <c:pt idx="108">
                  <c:v>2018-10</c:v>
                </c:pt>
                <c:pt idx="109">
                  <c:v>2018-11</c:v>
                </c:pt>
                <c:pt idx="110">
                  <c:v>2018-12</c:v>
                </c:pt>
                <c:pt idx="111">
                  <c:v>2019-01</c:v>
                </c:pt>
                <c:pt idx="112">
                  <c:v>2019-02</c:v>
                </c:pt>
                <c:pt idx="113">
                  <c:v>2019-03</c:v>
                </c:pt>
                <c:pt idx="114">
                  <c:v>2019-04</c:v>
                </c:pt>
                <c:pt idx="115">
                  <c:v>2019-05</c:v>
                </c:pt>
                <c:pt idx="116">
                  <c:v>2019-06</c:v>
                </c:pt>
                <c:pt idx="117">
                  <c:v>2019-07</c:v>
                </c:pt>
                <c:pt idx="118">
                  <c:v>2019-08</c:v>
                </c:pt>
                <c:pt idx="119">
                  <c:v>2019-09</c:v>
                </c:pt>
                <c:pt idx="120">
                  <c:v>2019-10</c:v>
                </c:pt>
                <c:pt idx="121">
                  <c:v>2019-11</c:v>
                </c:pt>
                <c:pt idx="122">
                  <c:v>2019-12</c:v>
                </c:pt>
                <c:pt idx="123">
                  <c:v>2020-01</c:v>
                </c:pt>
                <c:pt idx="124">
                  <c:v>2020-02</c:v>
                </c:pt>
                <c:pt idx="125">
                  <c:v>2020-03</c:v>
                </c:pt>
                <c:pt idx="126">
                  <c:v>2020-04</c:v>
                </c:pt>
                <c:pt idx="127">
                  <c:v>2020-05</c:v>
                </c:pt>
                <c:pt idx="128">
                  <c:v>2020-06</c:v>
                </c:pt>
                <c:pt idx="129">
                  <c:v>2020-07</c:v>
                </c:pt>
                <c:pt idx="130">
                  <c:v>2020-08</c:v>
                </c:pt>
                <c:pt idx="131">
                  <c:v>2020-09</c:v>
                </c:pt>
                <c:pt idx="132">
                  <c:v>2020-10</c:v>
                </c:pt>
                <c:pt idx="133">
                  <c:v>2020-11</c:v>
                </c:pt>
                <c:pt idx="134">
                  <c:v>2020-12</c:v>
                </c:pt>
                <c:pt idx="135">
                  <c:v>2021-01</c:v>
                </c:pt>
                <c:pt idx="136">
                  <c:v>2021-02</c:v>
                </c:pt>
                <c:pt idx="137">
                  <c:v>2021-03</c:v>
                </c:pt>
                <c:pt idx="138">
                  <c:v>2021-04</c:v>
                </c:pt>
                <c:pt idx="139">
                  <c:v>2021-05</c:v>
                </c:pt>
                <c:pt idx="140">
                  <c:v>2021-06</c:v>
                </c:pt>
                <c:pt idx="141">
                  <c:v>2021-07</c:v>
                </c:pt>
                <c:pt idx="142">
                  <c:v>2021-08</c:v>
                </c:pt>
                <c:pt idx="143">
                  <c:v>2021-09</c:v>
                </c:pt>
                <c:pt idx="144">
                  <c:v>2021-10</c:v>
                </c:pt>
                <c:pt idx="145">
                  <c:v>2021-11</c:v>
                </c:pt>
                <c:pt idx="146">
                  <c:v>2021-12</c:v>
                </c:pt>
                <c:pt idx="147">
                  <c:v>2022-01</c:v>
                </c:pt>
                <c:pt idx="148">
                  <c:v>2022-02</c:v>
                </c:pt>
                <c:pt idx="149">
                  <c:v>2022-03</c:v>
                </c:pt>
                <c:pt idx="150">
                  <c:v>2022-04</c:v>
                </c:pt>
                <c:pt idx="151">
                  <c:v>2022-05</c:v>
                </c:pt>
                <c:pt idx="152">
                  <c:v>2022-06</c:v>
                </c:pt>
                <c:pt idx="153">
                  <c:v>2022-07</c:v>
                </c:pt>
                <c:pt idx="154">
                  <c:v>2022-08</c:v>
                </c:pt>
                <c:pt idx="155">
                  <c:v>2022-09</c:v>
                </c:pt>
                <c:pt idx="156">
                  <c:v>2022-10</c:v>
                </c:pt>
                <c:pt idx="157">
                  <c:v>2022-11</c:v>
                </c:pt>
                <c:pt idx="158">
                  <c:v>2022-12</c:v>
                </c:pt>
                <c:pt idx="159">
                  <c:v>2023-01</c:v>
                </c:pt>
                <c:pt idx="160">
                  <c:v>2023-02</c:v>
                </c:pt>
                <c:pt idx="161">
                  <c:v>2023-03</c:v>
                </c:pt>
                <c:pt idx="162">
                  <c:v>2023-04</c:v>
                </c:pt>
                <c:pt idx="163">
                  <c:v>2023-05</c:v>
                </c:pt>
                <c:pt idx="164">
                  <c:v>2023-06</c:v>
                </c:pt>
                <c:pt idx="165">
                  <c:v>2023-07</c:v>
                </c:pt>
                <c:pt idx="166">
                  <c:v>2023-08</c:v>
                </c:pt>
                <c:pt idx="167">
                  <c:v>2023-09</c:v>
                </c:pt>
                <c:pt idx="168">
                  <c:v>2023-10</c:v>
                </c:pt>
                <c:pt idx="169">
                  <c:v>2023-11</c:v>
                </c:pt>
                <c:pt idx="170">
                  <c:v>2023-12</c:v>
                </c:pt>
                <c:pt idx="171">
                  <c:v>2024-01</c:v>
                </c:pt>
                <c:pt idx="172">
                  <c:v>2024-02</c:v>
                </c:pt>
                <c:pt idx="173">
                  <c:v>2024-03</c:v>
                </c:pt>
                <c:pt idx="174">
                  <c:v>2024-04</c:v>
                </c:pt>
                <c:pt idx="175">
                  <c:v>2024-05</c:v>
                </c:pt>
                <c:pt idx="176">
                  <c:v>2024-06</c:v>
                </c:pt>
                <c:pt idx="177">
                  <c:v>2024-07</c:v>
                </c:pt>
                <c:pt idx="178">
                  <c:v>2024-08</c:v>
                </c:pt>
                <c:pt idx="179">
                  <c:v>2024-09</c:v>
                </c:pt>
                <c:pt idx="180">
                  <c:v>2024-10</c:v>
                </c:pt>
                <c:pt idx="181">
                  <c:v>2024-11</c:v>
                </c:pt>
                <c:pt idx="182">
                  <c:v>2024-12</c:v>
                </c:pt>
              </c:strCache>
            </c:strRef>
          </c:cat>
          <c:val>
            <c:numRef>
              <c:f>Datos_Mensuales!$E$2:$E$184</c:f>
              <c:numCache>
                <c:formatCode>0.00</c:formatCode>
                <c:ptCount val="183"/>
                <c:pt idx="0">
                  <c:v>4.69</c:v>
                </c:pt>
                <c:pt idx="1">
                  <c:v>4.68</c:v>
                </c:pt>
                <c:pt idx="2">
                  <c:v>4.87</c:v>
                </c:pt>
                <c:pt idx="3">
                  <c:v>5.09</c:v>
                </c:pt>
                <c:pt idx="4">
                  <c:v>5.29</c:v>
                </c:pt>
                <c:pt idx="5">
                  <c:v>5.38</c:v>
                </c:pt>
                <c:pt idx="6">
                  <c:v>5.24</c:v>
                </c:pt>
                <c:pt idx="7">
                  <c:v>5.12</c:v>
                </c:pt>
                <c:pt idx="8">
                  <c:v>5.29</c:v>
                </c:pt>
                <c:pt idx="9">
                  <c:v>5.45</c:v>
                </c:pt>
                <c:pt idx="10">
                  <c:v>5.4</c:v>
                </c:pt>
                <c:pt idx="11">
                  <c:v>5.37</c:v>
                </c:pt>
                <c:pt idx="12">
                  <c:v>5.17</c:v>
                </c:pt>
                <c:pt idx="13">
                  <c:v>5.34</c:v>
                </c:pt>
                <c:pt idx="14">
                  <c:v>5.61</c:v>
                </c:pt>
                <c:pt idx="15">
                  <c:v>5.55</c:v>
                </c:pt>
                <c:pt idx="16">
                  <c:v>5.6</c:v>
                </c:pt>
                <c:pt idx="17">
                  <c:v>5.58</c:v>
                </c:pt>
                <c:pt idx="18">
                  <c:v>5.92</c:v>
                </c:pt>
                <c:pt idx="19">
                  <c:v>6.27</c:v>
                </c:pt>
                <c:pt idx="20">
                  <c:v>6.41</c:v>
                </c:pt>
                <c:pt idx="21">
                  <c:v>6.75</c:v>
                </c:pt>
                <c:pt idx="22">
                  <c:v>6.62</c:v>
                </c:pt>
                <c:pt idx="23">
                  <c:v>6.82</c:v>
                </c:pt>
                <c:pt idx="24">
                  <c:v>7.09</c:v>
                </c:pt>
                <c:pt idx="25">
                  <c:v>6.66</c:v>
                </c:pt>
                <c:pt idx="26">
                  <c:v>6.49</c:v>
                </c:pt>
                <c:pt idx="27">
                  <c:v>6.83</c:v>
                </c:pt>
                <c:pt idx="28">
                  <c:v>6.71</c:v>
                </c:pt>
                <c:pt idx="29">
                  <c:v>6.04</c:v>
                </c:pt>
                <c:pt idx="30">
                  <c:v>5.7</c:v>
                </c:pt>
                <c:pt idx="31">
                  <c:v>5.47</c:v>
                </c:pt>
                <c:pt idx="32">
                  <c:v>4.97</c:v>
                </c:pt>
                <c:pt idx="33">
                  <c:v>4.49</c:v>
                </c:pt>
                <c:pt idx="34">
                  <c:v>4.32</c:v>
                </c:pt>
                <c:pt idx="35">
                  <c:v>4.19</c:v>
                </c:pt>
                <c:pt idx="36">
                  <c:v>3.93</c:v>
                </c:pt>
                <c:pt idx="37">
                  <c:v>3.82</c:v>
                </c:pt>
                <c:pt idx="38">
                  <c:v>3.87</c:v>
                </c:pt>
                <c:pt idx="39">
                  <c:v>3.87</c:v>
                </c:pt>
                <c:pt idx="40">
                  <c:v>3.95</c:v>
                </c:pt>
                <c:pt idx="41">
                  <c:v>4.17</c:v>
                </c:pt>
                <c:pt idx="42">
                  <c:v>4.47</c:v>
                </c:pt>
                <c:pt idx="43">
                  <c:v>4.5</c:v>
                </c:pt>
                <c:pt idx="44">
                  <c:v>4.61</c:v>
                </c:pt>
                <c:pt idx="45">
                  <c:v>4.97</c:v>
                </c:pt>
                <c:pt idx="46">
                  <c:v>4.77</c:v>
                </c:pt>
                <c:pt idx="47">
                  <c:v>4.59</c:v>
                </c:pt>
                <c:pt idx="48">
                  <c:v>4.66</c:v>
                </c:pt>
                <c:pt idx="49">
                  <c:v>4.52</c:v>
                </c:pt>
                <c:pt idx="50">
                  <c:v>4.28</c:v>
                </c:pt>
                <c:pt idx="51">
                  <c:v>4.06</c:v>
                </c:pt>
                <c:pt idx="52">
                  <c:v>3.75</c:v>
                </c:pt>
                <c:pt idx="53">
                  <c:v>3.72</c:v>
                </c:pt>
                <c:pt idx="54">
                  <c:v>3.43</c:v>
                </c:pt>
                <c:pt idx="55">
                  <c:v>3.26</c:v>
                </c:pt>
                <c:pt idx="56">
                  <c:v>3.52</c:v>
                </c:pt>
                <c:pt idx="57">
                  <c:v>3.26</c:v>
                </c:pt>
                <c:pt idx="58">
                  <c:v>3.19</c:v>
                </c:pt>
                <c:pt idx="59">
                  <c:v>3.33</c:v>
                </c:pt>
                <c:pt idx="60">
                  <c:v>3.29</c:v>
                </c:pt>
                <c:pt idx="61">
                  <c:v>3.14</c:v>
                </c:pt>
                <c:pt idx="62">
                  <c:v>3.06</c:v>
                </c:pt>
                <c:pt idx="63">
                  <c:v>2.96</c:v>
                </c:pt>
                <c:pt idx="64">
                  <c:v>2.57</c:v>
                </c:pt>
                <c:pt idx="65">
                  <c:v>2.22</c:v>
                </c:pt>
                <c:pt idx="66">
                  <c:v>2.11</c:v>
                </c:pt>
                <c:pt idx="67">
                  <c:v>1.89</c:v>
                </c:pt>
                <c:pt idx="68">
                  <c:v>1.71</c:v>
                </c:pt>
                <c:pt idx="69">
                  <c:v>1.68</c:v>
                </c:pt>
                <c:pt idx="70">
                  <c:v>1.6</c:v>
                </c:pt>
                <c:pt idx="71">
                  <c:v>1.64</c:v>
                </c:pt>
                <c:pt idx="72">
                  <c:v>1.77</c:v>
                </c:pt>
                <c:pt idx="73">
                  <c:v>1.87</c:v>
                </c:pt>
                <c:pt idx="74">
                  <c:v>2.01</c:v>
                </c:pt>
                <c:pt idx="75">
                  <c:v>2.27</c:v>
                </c:pt>
                <c:pt idx="76">
                  <c:v>2.46</c:v>
                </c:pt>
                <c:pt idx="77">
                  <c:v>2.59</c:v>
                </c:pt>
                <c:pt idx="78">
                  <c:v>2.68</c:v>
                </c:pt>
                <c:pt idx="79">
                  <c:v>2.72</c:v>
                </c:pt>
                <c:pt idx="80">
                  <c:v>2.68</c:v>
                </c:pt>
                <c:pt idx="81">
                  <c:v>2.64</c:v>
                </c:pt>
                <c:pt idx="82">
                  <c:v>2.66</c:v>
                </c:pt>
                <c:pt idx="83">
                  <c:v>2.34</c:v>
                </c:pt>
                <c:pt idx="84">
                  <c:v>2.3</c:v>
                </c:pt>
                <c:pt idx="85">
                  <c:v>2.52</c:v>
                </c:pt>
                <c:pt idx="86">
                  <c:v>2.3</c:v>
                </c:pt>
                <c:pt idx="87">
                  <c:v>2.46</c:v>
                </c:pt>
                <c:pt idx="88">
                  <c:v>2.71</c:v>
                </c:pt>
                <c:pt idx="89">
                  <c:v>2.75</c:v>
                </c:pt>
                <c:pt idx="90">
                  <c:v>3.12</c:v>
                </c:pt>
                <c:pt idx="91">
                  <c:v>3.22</c:v>
                </c:pt>
                <c:pt idx="92">
                  <c:v>3.12</c:v>
                </c:pt>
                <c:pt idx="93">
                  <c:v>3.28</c:v>
                </c:pt>
                <c:pt idx="94">
                  <c:v>3.49</c:v>
                </c:pt>
                <c:pt idx="95">
                  <c:v>3.63</c:v>
                </c:pt>
                <c:pt idx="96">
                  <c:v>3.8</c:v>
                </c:pt>
                <c:pt idx="97">
                  <c:v>4.05</c:v>
                </c:pt>
                <c:pt idx="98">
                  <c:v>4.01</c:v>
                </c:pt>
                <c:pt idx="99">
                  <c:v>3.83</c:v>
                </c:pt>
                <c:pt idx="100">
                  <c:v>4.01</c:v>
                </c:pt>
                <c:pt idx="101">
                  <c:v>4.13</c:v>
                </c:pt>
                <c:pt idx="102">
                  <c:v>4.05</c:v>
                </c:pt>
                <c:pt idx="103">
                  <c:v>3.88</c:v>
                </c:pt>
                <c:pt idx="104">
                  <c:v>3.97</c:v>
                </c:pt>
                <c:pt idx="105">
                  <c:v>4.2</c:v>
                </c:pt>
                <c:pt idx="106">
                  <c:v>4.11</c:v>
                </c:pt>
                <c:pt idx="107">
                  <c:v>4.29</c:v>
                </c:pt>
                <c:pt idx="108">
                  <c:v>4.14</c:v>
                </c:pt>
                <c:pt idx="109">
                  <c:v>3.8</c:v>
                </c:pt>
                <c:pt idx="110">
                  <c:v>3.54</c:v>
                </c:pt>
                <c:pt idx="111">
                  <c:v>2.99</c:v>
                </c:pt>
                <c:pt idx="112">
                  <c:v>2.59</c:v>
                </c:pt>
                <c:pt idx="113">
                  <c:v>2.52</c:v>
                </c:pt>
                <c:pt idx="114">
                  <c:v>2.38</c:v>
                </c:pt>
                <c:pt idx="115">
                  <c:v>2.14</c:v>
                </c:pt>
                <c:pt idx="116">
                  <c:v>2.16</c:v>
                </c:pt>
                <c:pt idx="117">
                  <c:v>2.25</c:v>
                </c:pt>
                <c:pt idx="118">
                  <c:v>2.41</c:v>
                </c:pt>
                <c:pt idx="119">
                  <c:v>2.43</c:v>
                </c:pt>
                <c:pt idx="120">
                  <c:v>2.49</c:v>
                </c:pt>
                <c:pt idx="121">
                  <c:v>2.71</c:v>
                </c:pt>
                <c:pt idx="122">
                  <c:v>2.77</c:v>
                </c:pt>
                <c:pt idx="123">
                  <c:v>2.96</c:v>
                </c:pt>
                <c:pt idx="124">
                  <c:v>3.41</c:v>
                </c:pt>
                <c:pt idx="125">
                  <c:v>3.69</c:v>
                </c:pt>
                <c:pt idx="126">
                  <c:v>3.68</c:v>
                </c:pt>
                <c:pt idx="127">
                  <c:v>3.71</c:v>
                </c:pt>
                <c:pt idx="128">
                  <c:v>3.59</c:v>
                </c:pt>
                <c:pt idx="129">
                  <c:v>3.32</c:v>
                </c:pt>
                <c:pt idx="130">
                  <c:v>3.32</c:v>
                </c:pt>
                <c:pt idx="131">
                  <c:v>3.37</c:v>
                </c:pt>
                <c:pt idx="132">
                  <c:v>3.46</c:v>
                </c:pt>
                <c:pt idx="133">
                  <c:v>3.92</c:v>
                </c:pt>
                <c:pt idx="134">
                  <c:v>4.33</c:v>
                </c:pt>
                <c:pt idx="135">
                  <c:v>4.62</c:v>
                </c:pt>
                <c:pt idx="136">
                  <c:v>5.03</c:v>
                </c:pt>
                <c:pt idx="137">
                  <c:v>5.09</c:v>
                </c:pt>
                <c:pt idx="138">
                  <c:v>5.42</c:v>
                </c:pt>
                <c:pt idx="139">
                  <c:v>5.95</c:v>
                </c:pt>
                <c:pt idx="140">
                  <c:v>6.3</c:v>
                </c:pt>
                <c:pt idx="141">
                  <c:v>6.68</c:v>
                </c:pt>
                <c:pt idx="142">
                  <c:v>6.76</c:v>
                </c:pt>
                <c:pt idx="143">
                  <c:v>6.71</c:v>
                </c:pt>
                <c:pt idx="144">
                  <c:v>6.73</c:v>
                </c:pt>
                <c:pt idx="145">
                  <c:v>6.66</c:v>
                </c:pt>
                <c:pt idx="146">
                  <c:v>6.54</c:v>
                </c:pt>
                <c:pt idx="147">
                  <c:v>6.63</c:v>
                </c:pt>
                <c:pt idx="148">
                  <c:v>6.78</c:v>
                </c:pt>
                <c:pt idx="149">
                  <c:v>6.94</c:v>
                </c:pt>
                <c:pt idx="150">
                  <c:v>7.2</c:v>
                </c:pt>
                <c:pt idx="151">
                  <c:v>7.25</c:v>
                </c:pt>
                <c:pt idx="152">
                  <c:v>7.25</c:v>
                </c:pt>
                <c:pt idx="153">
                  <c:v>7.39</c:v>
                </c:pt>
                <c:pt idx="154">
                  <c:v>7.46</c:v>
                </c:pt>
                <c:pt idx="155">
                  <c:v>7.41</c:v>
                </c:pt>
                <c:pt idx="156">
                  <c:v>7.43</c:v>
                </c:pt>
                <c:pt idx="157">
                  <c:v>7.38</c:v>
                </c:pt>
                <c:pt idx="158">
                  <c:v>6.89</c:v>
                </c:pt>
                <c:pt idx="159">
                  <c:v>6.6</c:v>
                </c:pt>
                <c:pt idx="160">
                  <c:v>6.52</c:v>
                </c:pt>
                <c:pt idx="161">
                  <c:v>6.13</c:v>
                </c:pt>
                <c:pt idx="162">
                  <c:v>5.67</c:v>
                </c:pt>
                <c:pt idx="163">
                  <c:v>5.21</c:v>
                </c:pt>
                <c:pt idx="164">
                  <c:v>4.96</c:v>
                </c:pt>
                <c:pt idx="165">
                  <c:v>4.73</c:v>
                </c:pt>
                <c:pt idx="166">
                  <c:v>4.47</c:v>
                </c:pt>
                <c:pt idx="167">
                  <c:v>4.27</c:v>
                </c:pt>
                <c:pt idx="168">
                  <c:v>4.15</c:v>
                </c:pt>
                <c:pt idx="169">
                  <c:v>4.16</c:v>
                </c:pt>
                <c:pt idx="170">
                  <c:v>3.94</c:v>
                </c:pt>
                <c:pt idx="171">
                  <c:v>3.72</c:v>
                </c:pt>
                <c:pt idx="172">
                  <c:v>3.85</c:v>
                </c:pt>
                <c:pt idx="173">
                  <c:v>3.74</c:v>
                </c:pt>
                <c:pt idx="174">
                  <c:v>3.69</c:v>
                </c:pt>
                <c:pt idx="175">
                  <c:v>3.92</c:v>
                </c:pt>
                <c:pt idx="176">
                  <c:v>3.7</c:v>
                </c:pt>
                <c:pt idx="177">
                  <c:v>3.5</c:v>
                </c:pt>
                <c:pt idx="178">
                  <c:v>3.59</c:v>
                </c:pt>
                <c:pt idx="179">
                  <c:v>3.47</c:v>
                </c:pt>
                <c:pt idx="180">
                  <c:v>3.65</c:v>
                </c:pt>
                <c:pt idx="181">
                  <c:v>3.57</c:v>
                </c:pt>
                <c:pt idx="182">
                  <c:v>3.36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253220"/>
        <c:axId val="26042963"/>
      </c:lineChart>
      <c:catAx>
        <c:axId val="822532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42963"/>
        <c:crosses val="autoZero"/>
        <c:auto val="1"/>
        <c:lblAlgn val="ctr"/>
        <c:lblOffset val="100"/>
        <c:noMultiLvlLbl val="0"/>
      </c:catAx>
      <c:valAx>
        <c:axId val="26042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interanual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253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5</xdr:col>
      <xdr:colOff>417960</xdr:colOff>
      <xdr:row>34</xdr:row>
      <xdr:rowOff>22320</xdr:rowOff>
    </xdr:to>
    <xdr:graphicFrame>
      <xdr:nvGraphicFramePr>
        <xdr:cNvPr id="0" name="Chart 1"/>
        <xdr:cNvGraphicFramePr/>
      </xdr:nvGraphicFramePr>
      <xdr:xfrm>
        <a:off x="0" y="3781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/>
      <c r="B2" s="2"/>
      <c r="C2" s="2"/>
      <c r="D2" s="2"/>
    </row>
    <row r="3" customFormat="false" ht="30" hidden="false" customHeight="true" outlineLevel="0" collapsed="false">
      <c r="A3" s="3" t="s">
        <v>1</v>
      </c>
      <c r="B3" s="2" t="s">
        <v>2</v>
      </c>
      <c r="C3" s="2"/>
      <c r="D3" s="2"/>
    </row>
    <row r="4" customFormat="false" ht="30" hidden="false" customHeight="true" outlineLevel="0" collapsed="false">
      <c r="A4" s="3" t="s">
        <v>3</v>
      </c>
      <c r="B4" s="2" t="s">
        <v>4</v>
      </c>
      <c r="C4" s="2"/>
      <c r="D4" s="2"/>
    </row>
    <row r="5" customFormat="false" ht="30" hidden="false" customHeight="true" outlineLevel="0" collapsed="false">
      <c r="A5" s="3" t="s">
        <v>5</v>
      </c>
      <c r="B5" s="2" t="s">
        <v>6</v>
      </c>
      <c r="C5" s="2"/>
      <c r="D5" s="2"/>
    </row>
    <row r="6" customFormat="false" ht="30" hidden="false" customHeight="true" outlineLevel="0" collapsed="false">
      <c r="A6" s="3" t="s">
        <v>7</v>
      </c>
      <c r="B6" s="2" t="s">
        <v>8</v>
      </c>
      <c r="C6" s="2"/>
      <c r="D6" s="2"/>
    </row>
    <row r="7" customFormat="false" ht="30" hidden="false" customHeight="true" outlineLevel="0" collapsed="false">
      <c r="A7" s="2"/>
      <c r="B7" s="2"/>
      <c r="C7" s="2"/>
      <c r="D7" s="2"/>
    </row>
    <row r="8" customFormat="false" ht="30" hidden="false" customHeight="true" outlineLevel="0" collapsed="false">
      <c r="A8" s="4" t="s">
        <v>9</v>
      </c>
      <c r="B8" s="4"/>
      <c r="C8" s="4"/>
      <c r="D8" s="4"/>
    </row>
    <row r="9" customFormat="false" ht="30" hidden="false" customHeight="true" outlineLevel="0" collapsed="false">
      <c r="A9" s="2"/>
      <c r="B9" s="2"/>
      <c r="C9" s="2"/>
      <c r="D9" s="2"/>
    </row>
    <row r="10" customFormat="false" ht="30" hidden="false" customHeight="true" outlineLevel="0" collapsed="false">
      <c r="A10" s="3" t="s">
        <v>10</v>
      </c>
      <c r="B10" s="2" t="s">
        <v>11</v>
      </c>
      <c r="C10" s="2"/>
      <c r="D10" s="2"/>
    </row>
    <row r="11" customFormat="false" ht="30" hidden="false" customHeight="true" outlineLevel="0" collapsed="false">
      <c r="A11" s="3" t="s">
        <v>12</v>
      </c>
      <c r="B11" s="2" t="s">
        <v>13</v>
      </c>
      <c r="C11" s="2"/>
      <c r="D11" s="2"/>
    </row>
    <row r="12" customFormat="false" ht="30" hidden="false" customHeight="true" outlineLevel="0" collapsed="false">
      <c r="A12" s="3" t="s">
        <v>14</v>
      </c>
      <c r="B12" s="2" t="s">
        <v>15</v>
      </c>
      <c r="C12" s="2"/>
      <c r="D12" s="2"/>
    </row>
    <row r="13" customFormat="false" ht="30" hidden="false" customHeight="true" outlineLevel="0" collapsed="false">
      <c r="A13" s="3" t="s">
        <v>16</v>
      </c>
      <c r="B13" s="2" t="s">
        <v>17</v>
      </c>
      <c r="C13" s="2"/>
      <c r="D13" s="2"/>
    </row>
    <row r="14" customFormat="false" ht="30" hidden="false" customHeight="true" outlineLevel="0" collapsed="false">
      <c r="A14" s="3" t="s">
        <v>18</v>
      </c>
      <c r="B14" s="5" t="s">
        <v>19</v>
      </c>
      <c r="C14" s="5"/>
      <c r="D14" s="5"/>
    </row>
    <row r="15" customFormat="false" ht="30" hidden="false" customHeight="true" outlineLevel="0" collapsed="false">
      <c r="A15" s="2"/>
      <c r="B15" s="2"/>
      <c r="C15" s="2"/>
      <c r="D15" s="2"/>
    </row>
    <row r="16" customFormat="false" ht="30" hidden="false" customHeight="true" outlineLevel="0" collapsed="false">
      <c r="A16" s="4" t="s">
        <v>20</v>
      </c>
      <c r="B16" s="4"/>
      <c r="C16" s="4"/>
      <c r="D16" s="4"/>
    </row>
    <row r="17" customFormat="false" ht="30" hidden="false" customHeight="true" outlineLevel="0" collapsed="false">
      <c r="A17" s="3" t="s">
        <v>21</v>
      </c>
      <c r="B17" s="2" t="s">
        <v>22</v>
      </c>
      <c r="C17" s="2"/>
      <c r="D17" s="2"/>
    </row>
    <row r="18" customFormat="false" ht="30" hidden="false" customHeight="true" outlineLevel="0" collapsed="false">
      <c r="A18" s="3" t="s">
        <v>23</v>
      </c>
      <c r="B18" s="2" t="s">
        <v>24</v>
      </c>
      <c r="C18" s="2"/>
      <c r="D18" s="2"/>
    </row>
    <row r="19" customFormat="false" ht="30" hidden="false" customHeight="true" outlineLevel="0" collapsed="false">
      <c r="A19" s="3" t="s">
        <v>25</v>
      </c>
      <c r="B19" s="2" t="s">
        <v>26</v>
      </c>
      <c r="C19" s="2"/>
      <c r="D19" s="2"/>
    </row>
    <row r="20" customFormat="false" ht="30" hidden="false" customHeight="true" outlineLevel="0" collapsed="false">
      <c r="A20" s="3" t="s">
        <v>27</v>
      </c>
      <c r="B20" s="2" t="s">
        <v>28</v>
      </c>
      <c r="C20" s="2"/>
      <c r="D20" s="2"/>
    </row>
    <row r="21" customFormat="false" ht="30" hidden="false" customHeight="true" outlineLevel="0" collapsed="false">
      <c r="A21" s="2"/>
      <c r="B21" s="2"/>
      <c r="C21" s="2"/>
      <c r="D21" s="2"/>
    </row>
    <row r="22" customFormat="false" ht="30" hidden="false" customHeight="true" outlineLevel="0" collapsed="false">
      <c r="A22" s="4" t="s">
        <v>29</v>
      </c>
      <c r="B22" s="4"/>
      <c r="C22" s="4"/>
      <c r="D22" s="4"/>
    </row>
    <row r="23" customFormat="false" ht="30" hidden="false" customHeight="true" outlineLevel="0" collapsed="false">
      <c r="A23" s="3" t="s">
        <v>30</v>
      </c>
      <c r="B23" s="2" t="s">
        <v>31</v>
      </c>
      <c r="C23" s="2"/>
      <c r="D23" s="2"/>
    </row>
    <row r="24" customFormat="false" ht="30" hidden="false" customHeight="true" outlineLevel="0" collapsed="false">
      <c r="A24" s="3" t="s">
        <v>32</v>
      </c>
      <c r="B24" s="2" t="s">
        <v>33</v>
      </c>
      <c r="C24" s="2"/>
      <c r="D24" s="2"/>
    </row>
    <row r="25" customFormat="false" ht="30" hidden="false" customHeight="true" outlineLevel="0" collapsed="false">
      <c r="A25" s="3" t="s">
        <v>34</v>
      </c>
      <c r="B25" s="2" t="s">
        <v>35</v>
      </c>
      <c r="C25" s="2"/>
      <c r="D25" s="2"/>
    </row>
    <row r="26" customFormat="false" ht="30" hidden="false" customHeight="true" outlineLevel="0" collapsed="false">
      <c r="A26" s="3" t="s">
        <v>36</v>
      </c>
      <c r="B26" s="2" t="s">
        <v>37</v>
      </c>
      <c r="C26" s="2"/>
      <c r="D26" s="2"/>
    </row>
    <row r="27" customFormat="false" ht="30" hidden="false" customHeight="true" outlineLevel="0" collapsed="false">
      <c r="A27" s="2"/>
      <c r="B27" s="2"/>
      <c r="C27" s="2"/>
      <c r="D27" s="2"/>
    </row>
    <row r="28" customFormat="false" ht="30" hidden="false" customHeight="true" outlineLevel="0" collapsed="false">
      <c r="A28" s="4" t="s">
        <v>38</v>
      </c>
      <c r="B28" s="4"/>
      <c r="C28" s="4"/>
      <c r="D28" s="4"/>
    </row>
    <row r="29" customFormat="false" ht="30" hidden="false" customHeight="true" outlineLevel="0" collapsed="false">
      <c r="A29" s="2" t="s">
        <v>39</v>
      </c>
      <c r="B29" s="2"/>
      <c r="C29" s="2"/>
      <c r="D29" s="2"/>
    </row>
  </sheetData>
  <mergeCells count="29">
    <mergeCell ref="A1:D1"/>
    <mergeCell ref="A2:D2"/>
    <mergeCell ref="B3:D3"/>
    <mergeCell ref="B4:D4"/>
    <mergeCell ref="B5:D5"/>
    <mergeCell ref="B6:D6"/>
    <mergeCell ref="A7:D7"/>
    <mergeCell ref="A8:D8"/>
    <mergeCell ref="A9:D9"/>
    <mergeCell ref="B10:D10"/>
    <mergeCell ref="B11:D11"/>
    <mergeCell ref="B12:D12"/>
    <mergeCell ref="B13:D13"/>
    <mergeCell ref="B14:D14"/>
    <mergeCell ref="A15:D15"/>
    <mergeCell ref="A16:D16"/>
    <mergeCell ref="B17:D17"/>
    <mergeCell ref="B18:D18"/>
    <mergeCell ref="B19:D19"/>
    <mergeCell ref="B20:D20"/>
    <mergeCell ref="A21:D21"/>
    <mergeCell ref="A22:D22"/>
    <mergeCell ref="B23:D23"/>
    <mergeCell ref="B24:D24"/>
    <mergeCell ref="B25:D25"/>
    <mergeCell ref="B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22"/>
  </cols>
  <sheetData>
    <row r="1" customFormat="false" ht="15" hidden="false" customHeight="false" outlineLevel="0" collapsed="false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</row>
    <row r="2" customFormat="false" ht="15" hidden="false" customHeight="false" outlineLevel="0" collapsed="false">
      <c r="A2" s="7" t="n">
        <v>40087</v>
      </c>
      <c r="B2" s="8" t="n">
        <v>2009</v>
      </c>
      <c r="C2" s="8" t="n">
        <v>10</v>
      </c>
      <c r="D2" s="9" t="n">
        <v>5.2</v>
      </c>
      <c r="E2" s="10" t="n">
        <v>4.69</v>
      </c>
      <c r="F2" s="9" t="n">
        <v>4</v>
      </c>
      <c r="G2" s="9" t="n">
        <v>36.05</v>
      </c>
      <c r="H2" s="8"/>
      <c r="I2" s="9" t="n">
        <v>4</v>
      </c>
    </row>
    <row r="3" customFormat="false" ht="15" hidden="false" customHeight="false" outlineLevel="0" collapsed="false">
      <c r="A3" s="11" t="n">
        <v>40118</v>
      </c>
      <c r="B3" s="12" t="n">
        <v>2009</v>
      </c>
      <c r="C3" s="12" t="n">
        <v>11</v>
      </c>
      <c r="D3" s="13" t="n">
        <v>5.71</v>
      </c>
      <c r="E3" s="10" t="n">
        <v>4.68</v>
      </c>
      <c r="F3" s="13" t="n">
        <v>4</v>
      </c>
      <c r="G3" s="13" t="n">
        <v>36.05</v>
      </c>
      <c r="H3" s="12"/>
      <c r="I3" s="13" t="n">
        <v>4.5</v>
      </c>
    </row>
    <row r="4" customFormat="false" ht="15" hidden="false" customHeight="false" outlineLevel="0" collapsed="false">
      <c r="A4" s="7" t="n">
        <v>40148</v>
      </c>
      <c r="B4" s="8" t="n">
        <v>2009</v>
      </c>
      <c r="C4" s="8" t="n">
        <v>12</v>
      </c>
      <c r="D4" s="9" t="n">
        <v>5.76</v>
      </c>
      <c r="E4" s="10" t="n">
        <v>4.87</v>
      </c>
      <c r="F4" s="9" t="n">
        <v>4</v>
      </c>
      <c r="G4" s="9" t="n">
        <v>36.1</v>
      </c>
      <c r="H4" s="8"/>
      <c r="I4" s="9" t="n">
        <v>5</v>
      </c>
    </row>
    <row r="5" customFormat="false" ht="15" hidden="false" customHeight="false" outlineLevel="0" collapsed="false">
      <c r="A5" s="11" t="n">
        <v>40179</v>
      </c>
      <c r="B5" s="12" t="n">
        <v>2010</v>
      </c>
      <c r="C5" s="12" t="n">
        <v>1</v>
      </c>
      <c r="D5" s="13" t="n">
        <v>6.16</v>
      </c>
      <c r="E5" s="10" t="n">
        <v>5.09</v>
      </c>
      <c r="F5" s="13" t="n">
        <v>4</v>
      </c>
      <c r="G5" s="13" t="n">
        <v>36.2</v>
      </c>
      <c r="H5" s="12"/>
      <c r="I5" s="13" t="n">
        <v>7.5</v>
      </c>
    </row>
    <row r="6" customFormat="false" ht="15" hidden="false" customHeight="false" outlineLevel="0" collapsed="false">
      <c r="A6" s="7" t="n">
        <v>40210</v>
      </c>
      <c r="B6" s="8" t="n">
        <v>2010</v>
      </c>
      <c r="C6" s="8" t="n">
        <v>2</v>
      </c>
      <c r="D6" s="9" t="n">
        <v>6.2</v>
      </c>
      <c r="E6" s="10" t="n">
        <v>5.29</v>
      </c>
      <c r="F6" s="9" t="n">
        <v>4</v>
      </c>
      <c r="G6" s="9" t="n">
        <v>36.3</v>
      </c>
      <c r="H6" s="8"/>
      <c r="I6" s="9" t="n">
        <v>8</v>
      </c>
    </row>
    <row r="7" customFormat="false" ht="15" hidden="false" customHeight="false" outlineLevel="0" collapsed="false">
      <c r="A7" s="11" t="n">
        <v>40238</v>
      </c>
      <c r="B7" s="12" t="n">
        <v>2010</v>
      </c>
      <c r="C7" s="12" t="n">
        <v>3</v>
      </c>
      <c r="D7" s="13" t="n">
        <v>6.31</v>
      </c>
      <c r="E7" s="10" t="n">
        <v>5.38</v>
      </c>
      <c r="F7" s="13" t="n">
        <v>4</v>
      </c>
      <c r="G7" s="13" t="n">
        <v>36.45</v>
      </c>
      <c r="H7" s="12"/>
      <c r="I7" s="13" t="n">
        <v>7.8</v>
      </c>
    </row>
    <row r="8" customFormat="false" ht="15" hidden="false" customHeight="false" outlineLevel="0" collapsed="false">
      <c r="A8" s="7" t="n">
        <v>40269</v>
      </c>
      <c r="B8" s="8" t="n">
        <v>2010</v>
      </c>
      <c r="C8" s="8" t="n">
        <v>4</v>
      </c>
      <c r="D8" s="9" t="n">
        <v>6.34</v>
      </c>
      <c r="E8" s="10" t="n">
        <v>5.24</v>
      </c>
      <c r="F8" s="9" t="n">
        <v>4</v>
      </c>
      <c r="G8" s="9" t="n">
        <v>36.55</v>
      </c>
      <c r="H8" s="8"/>
      <c r="I8" s="9" t="n">
        <v>8</v>
      </c>
    </row>
    <row r="9" customFormat="false" ht="15" hidden="false" customHeight="false" outlineLevel="0" collapsed="false">
      <c r="A9" s="11" t="n">
        <v>40299</v>
      </c>
      <c r="B9" s="12" t="n">
        <v>2010</v>
      </c>
      <c r="C9" s="12" t="n">
        <v>5</v>
      </c>
      <c r="D9" s="13" t="n">
        <v>5.86</v>
      </c>
      <c r="E9" s="10" t="n">
        <v>5.12</v>
      </c>
      <c r="F9" s="13" t="n">
        <v>4</v>
      </c>
      <c r="G9" s="13" t="n">
        <v>36.65</v>
      </c>
      <c r="H9" s="12"/>
      <c r="I9" s="13" t="n">
        <v>8.5</v>
      </c>
    </row>
    <row r="10" customFormat="false" ht="15" hidden="false" customHeight="false" outlineLevel="0" collapsed="false">
      <c r="A10" s="7" t="n">
        <v>40330</v>
      </c>
      <c r="B10" s="8" t="n">
        <v>2010</v>
      </c>
      <c r="C10" s="8" t="n">
        <v>6</v>
      </c>
      <c r="D10" s="9" t="n">
        <v>6.11</v>
      </c>
      <c r="E10" s="10" t="n">
        <v>5.29</v>
      </c>
      <c r="F10" s="9" t="n">
        <v>4</v>
      </c>
      <c r="G10" s="9" t="n">
        <v>36.85</v>
      </c>
      <c r="H10" s="8"/>
      <c r="I10" s="9" t="n">
        <v>8.2</v>
      </c>
    </row>
    <row r="11" customFormat="false" ht="15" hidden="false" customHeight="false" outlineLevel="0" collapsed="false">
      <c r="A11" s="11" t="n">
        <v>40360</v>
      </c>
      <c r="B11" s="12" t="n">
        <v>2010</v>
      </c>
      <c r="C11" s="12" t="n">
        <v>7</v>
      </c>
      <c r="D11" s="13" t="n">
        <v>6.45</v>
      </c>
      <c r="E11" s="10" t="n">
        <v>5.45</v>
      </c>
      <c r="F11" s="13" t="n">
        <v>4.5</v>
      </c>
      <c r="G11" s="13" t="n">
        <v>37.05</v>
      </c>
      <c r="H11" s="12"/>
      <c r="I11" s="13" t="n">
        <v>7.8</v>
      </c>
    </row>
    <row r="12" customFormat="false" ht="15" hidden="false" customHeight="false" outlineLevel="0" collapsed="false">
      <c r="A12" s="7" t="n">
        <v>40391</v>
      </c>
      <c r="B12" s="8" t="n">
        <v>2010</v>
      </c>
      <c r="C12" s="8" t="n">
        <v>8</v>
      </c>
      <c r="D12" s="9" t="n">
        <v>6.29</v>
      </c>
      <c r="E12" s="10" t="n">
        <v>5.4</v>
      </c>
      <c r="F12" s="9" t="n">
        <v>5</v>
      </c>
      <c r="G12" s="9" t="n">
        <v>37.2</v>
      </c>
      <c r="H12" s="8"/>
      <c r="I12" s="9" t="n">
        <v>7.5</v>
      </c>
    </row>
    <row r="13" customFormat="false" ht="15" hidden="false" customHeight="false" outlineLevel="0" collapsed="false">
      <c r="A13" s="11" t="n">
        <v>40422</v>
      </c>
      <c r="B13" s="12" t="n">
        <v>2010</v>
      </c>
      <c r="C13" s="12" t="n">
        <v>9</v>
      </c>
      <c r="D13" s="13" t="n">
        <v>6.14</v>
      </c>
      <c r="E13" s="10" t="n">
        <v>5.37</v>
      </c>
      <c r="F13" s="13" t="n">
        <v>5</v>
      </c>
      <c r="G13" s="13" t="n">
        <v>37.3</v>
      </c>
      <c r="H13" s="12"/>
      <c r="I13" s="13" t="n">
        <v>7</v>
      </c>
    </row>
    <row r="14" customFormat="false" ht="15" hidden="false" customHeight="false" outlineLevel="0" collapsed="false">
      <c r="A14" s="7" t="n">
        <v>40452</v>
      </c>
      <c r="B14" s="8" t="n">
        <v>2010</v>
      </c>
      <c r="C14" s="8" t="n">
        <v>10</v>
      </c>
      <c r="D14" s="9" t="n">
        <v>6.32</v>
      </c>
      <c r="E14" s="10" t="n">
        <v>5.17</v>
      </c>
      <c r="F14" s="9" t="n">
        <v>5</v>
      </c>
      <c r="G14" s="9" t="n">
        <v>37.4</v>
      </c>
      <c r="H14" s="9" t="n">
        <v>3.74</v>
      </c>
      <c r="I14" s="9" t="n">
        <v>6.5</v>
      </c>
    </row>
    <row r="15" customFormat="false" ht="15" hidden="false" customHeight="false" outlineLevel="0" collapsed="false">
      <c r="A15" s="11" t="n">
        <v>40483</v>
      </c>
      <c r="B15" s="12" t="n">
        <v>2010</v>
      </c>
      <c r="C15" s="12" t="n">
        <v>11</v>
      </c>
      <c r="D15" s="13" t="n">
        <v>6.22</v>
      </c>
      <c r="E15" s="10" t="n">
        <v>5.34</v>
      </c>
      <c r="F15" s="13" t="n">
        <v>5</v>
      </c>
      <c r="G15" s="13" t="n">
        <v>37.5</v>
      </c>
      <c r="H15" s="13" t="n">
        <v>4.02</v>
      </c>
      <c r="I15" s="13" t="n">
        <v>6</v>
      </c>
    </row>
    <row r="16" customFormat="false" ht="15" hidden="false" customHeight="false" outlineLevel="0" collapsed="false">
      <c r="A16" s="7" t="n">
        <v>40513</v>
      </c>
      <c r="B16" s="8" t="n">
        <v>2010</v>
      </c>
      <c r="C16" s="8" t="n">
        <v>12</v>
      </c>
      <c r="D16" s="9" t="n">
        <v>6.24</v>
      </c>
      <c r="E16" s="10" t="n">
        <v>5.61</v>
      </c>
      <c r="F16" s="9" t="n">
        <v>5</v>
      </c>
      <c r="G16" s="9" t="n">
        <v>37.45</v>
      </c>
      <c r="H16" s="9" t="n">
        <v>3.74</v>
      </c>
      <c r="I16" s="9" t="n">
        <v>5.8</v>
      </c>
    </row>
    <row r="17" customFormat="false" ht="15" hidden="false" customHeight="false" outlineLevel="0" collapsed="false">
      <c r="A17" s="11" t="n">
        <v>40544</v>
      </c>
      <c r="B17" s="12" t="n">
        <v>2011</v>
      </c>
      <c r="C17" s="12" t="n">
        <v>1</v>
      </c>
      <c r="D17" s="13" t="n">
        <v>6.38</v>
      </c>
      <c r="E17" s="10" t="n">
        <v>5.55</v>
      </c>
      <c r="F17" s="13" t="n">
        <v>5</v>
      </c>
      <c r="G17" s="13" t="n">
        <v>37.5</v>
      </c>
      <c r="H17" s="13" t="n">
        <v>3.59</v>
      </c>
      <c r="I17" s="13" t="n">
        <v>4.8</v>
      </c>
    </row>
    <row r="18" customFormat="false" ht="15" hidden="false" customHeight="false" outlineLevel="0" collapsed="false">
      <c r="A18" s="7" t="n">
        <v>40575</v>
      </c>
      <c r="B18" s="8" t="n">
        <v>2011</v>
      </c>
      <c r="C18" s="8" t="n">
        <v>2</v>
      </c>
      <c r="D18" s="9" t="n">
        <v>6.94</v>
      </c>
      <c r="E18" s="10" t="n">
        <v>5.6</v>
      </c>
      <c r="F18" s="9" t="n">
        <v>5.5</v>
      </c>
      <c r="G18" s="9" t="n">
        <v>37.6</v>
      </c>
      <c r="H18" s="9" t="n">
        <v>3.58</v>
      </c>
      <c r="I18" s="9" t="n">
        <v>4.5</v>
      </c>
    </row>
    <row r="19" customFormat="false" ht="15" hidden="false" customHeight="false" outlineLevel="0" collapsed="false">
      <c r="A19" s="11" t="n">
        <v>40603</v>
      </c>
      <c r="B19" s="12" t="n">
        <v>2011</v>
      </c>
      <c r="C19" s="12" t="n">
        <v>3</v>
      </c>
      <c r="D19" s="13" t="n">
        <v>7.85</v>
      </c>
      <c r="E19" s="10" t="n">
        <v>5.58</v>
      </c>
      <c r="F19" s="13" t="n">
        <v>5.5</v>
      </c>
      <c r="G19" s="13" t="n">
        <v>37.75</v>
      </c>
      <c r="H19" s="13" t="n">
        <v>3.57</v>
      </c>
      <c r="I19" s="13" t="n">
        <v>4</v>
      </c>
    </row>
    <row r="20" customFormat="false" ht="15" hidden="false" customHeight="false" outlineLevel="0" collapsed="false">
      <c r="A20" s="7" t="n">
        <v>40634</v>
      </c>
      <c r="B20" s="8" t="n">
        <v>2011</v>
      </c>
      <c r="C20" s="8" t="n">
        <v>4</v>
      </c>
      <c r="D20" s="9" t="n">
        <v>8.45</v>
      </c>
      <c r="E20" s="10" t="n">
        <v>5.92</v>
      </c>
      <c r="F20" s="9" t="n">
        <v>6.25</v>
      </c>
      <c r="G20" s="9" t="n">
        <v>37.9</v>
      </c>
      <c r="H20" s="9" t="n">
        <v>3.69</v>
      </c>
      <c r="I20" s="9" t="n">
        <v>4.2</v>
      </c>
    </row>
    <row r="21" customFormat="false" ht="15" hidden="false" customHeight="false" outlineLevel="0" collapsed="false">
      <c r="A21" s="11" t="n">
        <v>40664</v>
      </c>
      <c r="B21" s="12" t="n">
        <v>2011</v>
      </c>
      <c r="C21" s="12" t="n">
        <v>5</v>
      </c>
      <c r="D21" s="13" t="n">
        <v>9.01</v>
      </c>
      <c r="E21" s="10" t="n">
        <v>6.27</v>
      </c>
      <c r="F21" s="13" t="n">
        <v>6.75</v>
      </c>
      <c r="G21" s="13" t="n">
        <v>38.05</v>
      </c>
      <c r="H21" s="13" t="n">
        <v>3.82</v>
      </c>
      <c r="I21" s="13" t="n">
        <v>3.8</v>
      </c>
    </row>
    <row r="22" customFormat="false" ht="15" hidden="false" customHeight="false" outlineLevel="0" collapsed="false">
      <c r="A22" s="7" t="n">
        <v>40695</v>
      </c>
      <c r="B22" s="8" t="n">
        <v>2011</v>
      </c>
      <c r="C22" s="8" t="n">
        <v>6</v>
      </c>
      <c r="D22" s="9" t="n">
        <v>8.9</v>
      </c>
      <c r="E22" s="10" t="n">
        <v>6.41</v>
      </c>
      <c r="F22" s="9" t="n">
        <v>6.75</v>
      </c>
      <c r="G22" s="9" t="n">
        <v>38.1</v>
      </c>
      <c r="H22" s="9" t="n">
        <v>3.39</v>
      </c>
      <c r="I22" s="9" t="n">
        <v>3.5</v>
      </c>
    </row>
    <row r="23" customFormat="false" ht="15" hidden="false" customHeight="false" outlineLevel="0" collapsed="false">
      <c r="A23" s="11" t="n">
        <v>40725</v>
      </c>
      <c r="B23" s="12" t="n">
        <v>2011</v>
      </c>
      <c r="C23" s="12" t="n">
        <v>7</v>
      </c>
      <c r="D23" s="13" t="n">
        <v>8.08</v>
      </c>
      <c r="E23" s="10" t="n">
        <v>6.75</v>
      </c>
      <c r="F23" s="13" t="n">
        <v>6.75</v>
      </c>
      <c r="G23" s="13" t="n">
        <v>38.15</v>
      </c>
      <c r="H23" s="13" t="n">
        <v>2.97</v>
      </c>
      <c r="I23" s="13" t="n">
        <v>4</v>
      </c>
    </row>
    <row r="24" customFormat="false" ht="15" hidden="false" customHeight="false" outlineLevel="0" collapsed="false">
      <c r="A24" s="7" t="n">
        <v>40756</v>
      </c>
      <c r="B24" s="8" t="n">
        <v>2011</v>
      </c>
      <c r="C24" s="8" t="n">
        <v>8</v>
      </c>
      <c r="D24" s="9" t="n">
        <v>8.46</v>
      </c>
      <c r="E24" s="10" t="n">
        <v>6.62</v>
      </c>
      <c r="F24" s="9" t="n">
        <v>6.75</v>
      </c>
      <c r="G24" s="9" t="n">
        <v>38.2</v>
      </c>
      <c r="H24" s="9" t="n">
        <v>2.69</v>
      </c>
      <c r="I24" s="9" t="n">
        <v>4.2</v>
      </c>
    </row>
    <row r="25" customFormat="false" ht="15" hidden="false" customHeight="false" outlineLevel="0" collapsed="false">
      <c r="A25" s="11" t="n">
        <v>40787</v>
      </c>
      <c r="B25" s="12" t="n">
        <v>2011</v>
      </c>
      <c r="C25" s="12" t="n">
        <v>9</v>
      </c>
      <c r="D25" s="13" t="n">
        <v>8.31</v>
      </c>
      <c r="E25" s="10" t="n">
        <v>6.82</v>
      </c>
      <c r="F25" s="13" t="n">
        <v>6.75</v>
      </c>
      <c r="G25" s="13" t="n">
        <v>38.3</v>
      </c>
      <c r="H25" s="13" t="n">
        <v>2.68</v>
      </c>
      <c r="I25" s="13" t="n">
        <v>4.5</v>
      </c>
    </row>
    <row r="26" customFormat="false" ht="15" hidden="false" customHeight="false" outlineLevel="0" collapsed="false">
      <c r="A26" s="7" t="n">
        <v>40817</v>
      </c>
      <c r="B26" s="8" t="n">
        <v>2011</v>
      </c>
      <c r="C26" s="8" t="n">
        <v>10</v>
      </c>
      <c r="D26" s="9" t="n">
        <v>7.91</v>
      </c>
      <c r="E26" s="10" t="n">
        <v>7.09</v>
      </c>
      <c r="F26" s="9" t="n">
        <v>6.75</v>
      </c>
      <c r="G26" s="9" t="n">
        <v>38.4</v>
      </c>
      <c r="H26" s="9" t="n">
        <v>2.67</v>
      </c>
      <c r="I26" s="9" t="n">
        <v>4.5</v>
      </c>
    </row>
    <row r="27" customFormat="false" ht="15" hidden="false" customHeight="false" outlineLevel="0" collapsed="false">
      <c r="A27" s="11" t="n">
        <v>40848</v>
      </c>
      <c r="B27" s="12" t="n">
        <v>2011</v>
      </c>
      <c r="C27" s="12" t="n">
        <v>11</v>
      </c>
      <c r="D27" s="13" t="n">
        <v>7.79</v>
      </c>
      <c r="E27" s="10" t="n">
        <v>6.66</v>
      </c>
      <c r="F27" s="13" t="n">
        <v>6.75</v>
      </c>
      <c r="G27" s="13" t="n">
        <v>38.55</v>
      </c>
      <c r="H27" s="13" t="n">
        <v>2.8</v>
      </c>
      <c r="I27" s="13" t="n">
        <v>4.8</v>
      </c>
    </row>
    <row r="28" customFormat="false" ht="15" hidden="false" customHeight="false" outlineLevel="0" collapsed="false">
      <c r="A28" s="7" t="n">
        <v>40878</v>
      </c>
      <c r="B28" s="8" t="n">
        <v>2011</v>
      </c>
      <c r="C28" s="8" t="n">
        <v>12</v>
      </c>
      <c r="D28" s="9" t="n">
        <v>7.76</v>
      </c>
      <c r="E28" s="10" t="n">
        <v>6.49</v>
      </c>
      <c r="F28" s="9" t="n">
        <v>6.75</v>
      </c>
      <c r="G28" s="9" t="n">
        <v>38.65</v>
      </c>
      <c r="H28" s="9" t="n">
        <v>3.2</v>
      </c>
      <c r="I28" s="9" t="n">
        <v>5</v>
      </c>
    </row>
    <row r="29" customFormat="false" ht="15" hidden="false" customHeight="false" outlineLevel="0" collapsed="false">
      <c r="A29" s="11" t="n">
        <v>40909</v>
      </c>
      <c r="B29" s="12" t="n">
        <v>2012</v>
      </c>
      <c r="C29" s="12" t="n">
        <v>1</v>
      </c>
      <c r="D29" s="13" t="n">
        <v>7.31</v>
      </c>
      <c r="E29" s="10" t="n">
        <v>6.83</v>
      </c>
      <c r="F29" s="13" t="n">
        <v>6.75</v>
      </c>
      <c r="G29" s="13" t="n">
        <v>38.75</v>
      </c>
      <c r="H29" s="13" t="n">
        <v>3.33</v>
      </c>
      <c r="I29" s="13" t="n">
        <v>4</v>
      </c>
    </row>
    <row r="30" customFormat="false" ht="15" hidden="false" customHeight="false" outlineLevel="0" collapsed="false">
      <c r="A30" s="7" t="n">
        <v>40940</v>
      </c>
      <c r="B30" s="8" t="n">
        <v>2012</v>
      </c>
      <c r="C30" s="8" t="n">
        <v>2</v>
      </c>
      <c r="D30" s="9" t="n">
        <v>6.73</v>
      </c>
      <c r="E30" s="10" t="n">
        <v>6.71</v>
      </c>
      <c r="F30" s="9" t="n">
        <v>6.75</v>
      </c>
      <c r="G30" s="9" t="n">
        <v>38.85</v>
      </c>
      <c r="H30" s="9" t="n">
        <v>3.32</v>
      </c>
      <c r="I30" s="9" t="n">
        <v>3.5</v>
      </c>
    </row>
    <row r="31" customFormat="false" ht="15" hidden="false" customHeight="false" outlineLevel="0" collapsed="false">
      <c r="A31" s="11" t="n">
        <v>40969</v>
      </c>
      <c r="B31" s="12" t="n">
        <v>2012</v>
      </c>
      <c r="C31" s="12" t="n">
        <v>3</v>
      </c>
      <c r="D31" s="13" t="n">
        <v>5.39</v>
      </c>
      <c r="E31" s="10" t="n">
        <v>6.04</v>
      </c>
      <c r="F31" s="13" t="n">
        <v>6.75</v>
      </c>
      <c r="G31" s="13" t="n">
        <v>38.95</v>
      </c>
      <c r="H31" s="13" t="n">
        <v>3.18</v>
      </c>
      <c r="I31" s="13" t="n">
        <v>3</v>
      </c>
    </row>
    <row r="32" customFormat="false" ht="15" hidden="false" customHeight="false" outlineLevel="0" collapsed="false">
      <c r="A32" s="7" t="n">
        <v>41000</v>
      </c>
      <c r="B32" s="8" t="n">
        <v>2012</v>
      </c>
      <c r="C32" s="8" t="n">
        <v>4</v>
      </c>
      <c r="D32" s="9" t="n">
        <v>4.46</v>
      </c>
      <c r="E32" s="10" t="n">
        <v>5.7</v>
      </c>
      <c r="F32" s="9" t="n">
        <v>6.75</v>
      </c>
      <c r="G32" s="9" t="n">
        <v>39.1</v>
      </c>
      <c r="H32" s="9" t="n">
        <v>3.17</v>
      </c>
      <c r="I32" s="9" t="n">
        <v>2.5</v>
      </c>
    </row>
    <row r="33" customFormat="false" ht="15" hidden="false" customHeight="false" outlineLevel="0" collapsed="false">
      <c r="A33" s="11" t="n">
        <v>41030</v>
      </c>
      <c r="B33" s="12" t="n">
        <v>2012</v>
      </c>
      <c r="C33" s="12" t="n">
        <v>5</v>
      </c>
      <c r="D33" s="13" t="n">
        <v>3.61</v>
      </c>
      <c r="E33" s="10" t="n">
        <v>5.47</v>
      </c>
      <c r="F33" s="13" t="n">
        <v>6.75</v>
      </c>
      <c r="G33" s="13" t="n">
        <v>39.2</v>
      </c>
      <c r="H33" s="13" t="n">
        <v>3.02</v>
      </c>
      <c r="I33" s="13" t="n">
        <v>2.5</v>
      </c>
    </row>
    <row r="34" customFormat="false" ht="15" hidden="false" customHeight="false" outlineLevel="0" collapsed="false">
      <c r="A34" s="7" t="n">
        <v>41061</v>
      </c>
      <c r="B34" s="8" t="n">
        <v>2012</v>
      </c>
      <c r="C34" s="8" t="n">
        <v>6</v>
      </c>
      <c r="D34" s="9" t="n">
        <v>3.67</v>
      </c>
      <c r="E34" s="10" t="n">
        <v>4.97</v>
      </c>
      <c r="F34" s="9" t="n">
        <v>6.75</v>
      </c>
      <c r="G34" s="9" t="n">
        <v>39.25</v>
      </c>
      <c r="H34" s="9" t="n">
        <v>3.02</v>
      </c>
      <c r="I34" s="9" t="n">
        <v>2.8</v>
      </c>
    </row>
    <row r="35" customFormat="false" ht="15" hidden="false" customHeight="false" outlineLevel="0" collapsed="false">
      <c r="A35" s="11" t="n">
        <v>41091</v>
      </c>
      <c r="B35" s="12" t="n">
        <v>2012</v>
      </c>
      <c r="C35" s="12" t="n">
        <v>7</v>
      </c>
      <c r="D35" s="13" t="n">
        <v>4.2</v>
      </c>
      <c r="E35" s="10" t="n">
        <v>4.49</v>
      </c>
      <c r="F35" s="13" t="n">
        <v>6.25</v>
      </c>
      <c r="G35" s="13" t="n">
        <v>39.35</v>
      </c>
      <c r="H35" s="13" t="n">
        <v>3.15</v>
      </c>
      <c r="I35" s="13" t="n">
        <v>3</v>
      </c>
    </row>
    <row r="36" customFormat="false" ht="15" hidden="false" customHeight="false" outlineLevel="0" collapsed="false">
      <c r="A36" s="7" t="n">
        <v>41122</v>
      </c>
      <c r="B36" s="8" t="n">
        <v>2012</v>
      </c>
      <c r="C36" s="8" t="n">
        <v>8</v>
      </c>
      <c r="D36" s="9" t="n">
        <v>3.48</v>
      </c>
      <c r="E36" s="10" t="n">
        <v>4.32</v>
      </c>
      <c r="F36" s="9" t="n">
        <v>5.75</v>
      </c>
      <c r="G36" s="9" t="n">
        <v>39.4</v>
      </c>
      <c r="H36" s="9" t="n">
        <v>3.14</v>
      </c>
      <c r="I36" s="9" t="n">
        <v>2.8</v>
      </c>
    </row>
    <row r="37" customFormat="false" ht="15" hidden="false" customHeight="false" outlineLevel="0" collapsed="false">
      <c r="A37" s="11" t="n">
        <v>41153</v>
      </c>
      <c r="B37" s="12" t="n">
        <v>2012</v>
      </c>
      <c r="C37" s="12" t="n">
        <v>9</v>
      </c>
      <c r="D37" s="13" t="n">
        <v>3.54</v>
      </c>
      <c r="E37" s="10" t="n">
        <v>4.19</v>
      </c>
      <c r="F37" s="13" t="n">
        <v>5</v>
      </c>
      <c r="G37" s="13" t="n">
        <v>39.5</v>
      </c>
      <c r="H37" s="13" t="n">
        <v>3.13</v>
      </c>
      <c r="I37" s="13" t="n">
        <v>2.5</v>
      </c>
    </row>
    <row r="38" customFormat="false" ht="15" hidden="false" customHeight="false" outlineLevel="0" collapsed="false">
      <c r="A38" s="7" t="n">
        <v>41183</v>
      </c>
      <c r="B38" s="8" t="n">
        <v>2012</v>
      </c>
      <c r="C38" s="8" t="n">
        <v>10</v>
      </c>
      <c r="D38" s="9" t="n">
        <v>3.78</v>
      </c>
      <c r="E38" s="10" t="n">
        <v>3.93</v>
      </c>
      <c r="F38" s="9" t="n">
        <v>5</v>
      </c>
      <c r="G38" s="9" t="n">
        <v>39.55</v>
      </c>
      <c r="H38" s="9" t="n">
        <v>2.99</v>
      </c>
      <c r="I38" s="9" t="n">
        <v>2.8</v>
      </c>
    </row>
    <row r="39" customFormat="false" ht="15" hidden="false" customHeight="false" outlineLevel="0" collapsed="false">
      <c r="A39" s="11" t="n">
        <v>41214</v>
      </c>
      <c r="B39" s="12" t="n">
        <v>2012</v>
      </c>
      <c r="C39" s="12" t="n">
        <v>11</v>
      </c>
      <c r="D39" s="13" t="n">
        <v>3.91</v>
      </c>
      <c r="E39" s="10" t="n">
        <v>3.82</v>
      </c>
      <c r="F39" s="13" t="n">
        <v>5</v>
      </c>
      <c r="G39" s="13" t="n">
        <v>39.6</v>
      </c>
      <c r="H39" s="13" t="n">
        <v>2.72</v>
      </c>
      <c r="I39" s="13" t="n">
        <v>3.2</v>
      </c>
    </row>
    <row r="40" customFormat="false" ht="15" hidden="false" customHeight="false" outlineLevel="0" collapsed="false">
      <c r="A40" s="7" t="n">
        <v>41244</v>
      </c>
      <c r="B40" s="8" t="n">
        <v>2012</v>
      </c>
      <c r="C40" s="8" t="n">
        <v>12</v>
      </c>
      <c r="D40" s="9" t="n">
        <v>3.91</v>
      </c>
      <c r="E40" s="10" t="n">
        <v>3.87</v>
      </c>
      <c r="F40" s="9" t="n">
        <v>5</v>
      </c>
      <c r="G40" s="9" t="n">
        <v>39.65</v>
      </c>
      <c r="H40" s="9" t="n">
        <v>2.59</v>
      </c>
      <c r="I40" s="9" t="n">
        <v>2.7</v>
      </c>
    </row>
    <row r="41" customFormat="false" ht="15" hidden="false" customHeight="false" outlineLevel="0" collapsed="false">
      <c r="A41" s="11" t="n">
        <v>41275</v>
      </c>
      <c r="B41" s="12" t="n">
        <v>2013</v>
      </c>
      <c r="C41" s="12" t="n">
        <v>1</v>
      </c>
      <c r="D41" s="13" t="n">
        <v>4.66</v>
      </c>
      <c r="E41" s="10" t="n">
        <v>3.87</v>
      </c>
      <c r="F41" s="13" t="n">
        <v>5</v>
      </c>
      <c r="G41" s="13" t="n">
        <v>39.75</v>
      </c>
      <c r="H41" s="13" t="n">
        <v>2.58</v>
      </c>
      <c r="I41" s="13" t="n">
        <v>1.5</v>
      </c>
    </row>
    <row r="42" customFormat="false" ht="15" hidden="false" customHeight="false" outlineLevel="0" collapsed="false">
      <c r="A42" s="7" t="n">
        <v>41306</v>
      </c>
      <c r="B42" s="8" t="n">
        <v>2013</v>
      </c>
      <c r="C42" s="8" t="n">
        <v>2</v>
      </c>
      <c r="D42" s="9" t="n">
        <v>4.85</v>
      </c>
      <c r="E42" s="10" t="n">
        <v>3.95</v>
      </c>
      <c r="F42" s="9" t="n">
        <v>5</v>
      </c>
      <c r="G42" s="9" t="n">
        <v>40.3</v>
      </c>
      <c r="H42" s="9" t="n">
        <v>3.73</v>
      </c>
      <c r="I42" s="9" t="n">
        <v>2</v>
      </c>
    </row>
    <row r="43" customFormat="false" ht="15" hidden="false" customHeight="false" outlineLevel="0" collapsed="false">
      <c r="A43" s="11" t="n">
        <v>41334</v>
      </c>
      <c r="B43" s="12" t="n">
        <v>2013</v>
      </c>
      <c r="C43" s="12" t="n">
        <v>3</v>
      </c>
      <c r="D43" s="13" t="n">
        <v>5.22</v>
      </c>
      <c r="E43" s="10" t="n">
        <v>4.17</v>
      </c>
      <c r="F43" s="13" t="n">
        <v>5</v>
      </c>
      <c r="G43" s="13" t="n">
        <v>40.95</v>
      </c>
      <c r="H43" s="13" t="n">
        <v>5.13</v>
      </c>
      <c r="I43" s="13" t="n">
        <v>2.5</v>
      </c>
    </row>
    <row r="44" customFormat="false" ht="15" hidden="false" customHeight="false" outlineLevel="0" collapsed="false">
      <c r="A44" s="7" t="n">
        <v>41365</v>
      </c>
      <c r="B44" s="8" t="n">
        <v>2013</v>
      </c>
      <c r="C44" s="8" t="n">
        <v>4</v>
      </c>
      <c r="D44" s="9" t="n">
        <v>4.91</v>
      </c>
      <c r="E44" s="10" t="n">
        <v>4.47</v>
      </c>
      <c r="F44" s="9" t="n">
        <v>5</v>
      </c>
      <c r="G44" s="9" t="n">
        <v>41.3</v>
      </c>
      <c r="H44" s="9" t="n">
        <v>5.63</v>
      </c>
      <c r="I44" s="9" t="n">
        <v>3.5</v>
      </c>
    </row>
    <row r="45" customFormat="false" ht="15" hidden="false" customHeight="false" outlineLevel="0" collapsed="false">
      <c r="A45" s="11" t="n">
        <v>41395</v>
      </c>
      <c r="B45" s="12" t="n">
        <v>2013</v>
      </c>
      <c r="C45" s="12" t="n">
        <v>5</v>
      </c>
      <c r="D45" s="13" t="n">
        <v>5.58</v>
      </c>
      <c r="E45" s="10" t="n">
        <v>4.5</v>
      </c>
      <c r="F45" s="13" t="n">
        <v>5</v>
      </c>
      <c r="G45" s="13" t="n">
        <v>41.45</v>
      </c>
      <c r="H45" s="13" t="n">
        <v>5.74</v>
      </c>
      <c r="I45" s="13" t="n">
        <v>4.5</v>
      </c>
    </row>
    <row r="46" customFormat="false" ht="15" hidden="false" customHeight="false" outlineLevel="0" collapsed="false">
      <c r="A46" s="7" t="n">
        <v>41426</v>
      </c>
      <c r="B46" s="8" t="n">
        <v>2013</v>
      </c>
      <c r="C46" s="8" t="n">
        <v>6</v>
      </c>
      <c r="D46" s="9" t="n">
        <v>5.42</v>
      </c>
      <c r="E46" s="10" t="n">
        <v>4.61</v>
      </c>
      <c r="F46" s="9" t="n">
        <v>4.25</v>
      </c>
      <c r="G46" s="9" t="n">
        <v>41.55</v>
      </c>
      <c r="H46" s="9" t="n">
        <v>5.86</v>
      </c>
      <c r="I46" s="9" t="n">
        <v>5</v>
      </c>
    </row>
    <row r="47" customFormat="false" ht="15" hidden="false" customHeight="false" outlineLevel="0" collapsed="false">
      <c r="A47" s="11" t="n">
        <v>41456</v>
      </c>
      <c r="B47" s="12" t="n">
        <v>2013</v>
      </c>
      <c r="C47" s="12" t="n">
        <v>7</v>
      </c>
      <c r="D47" s="13" t="n">
        <v>4.45</v>
      </c>
      <c r="E47" s="10" t="n">
        <v>4.97</v>
      </c>
      <c r="F47" s="13" t="n">
        <v>4.25</v>
      </c>
      <c r="G47" s="13" t="n">
        <v>41.65</v>
      </c>
      <c r="H47" s="13" t="n">
        <v>5.84</v>
      </c>
      <c r="I47" s="13" t="n">
        <v>5.5</v>
      </c>
    </row>
    <row r="48" customFormat="false" ht="15" hidden="false" customHeight="false" outlineLevel="0" collapsed="false">
      <c r="A48" s="7" t="n">
        <v>41487</v>
      </c>
      <c r="B48" s="8" t="n">
        <v>2013</v>
      </c>
      <c r="C48" s="8" t="n">
        <v>8</v>
      </c>
      <c r="D48" s="9" t="n">
        <v>4.66</v>
      </c>
      <c r="E48" s="10" t="n">
        <v>4.77</v>
      </c>
      <c r="F48" s="9" t="n">
        <v>4.25</v>
      </c>
      <c r="G48" s="9" t="n">
        <v>41.75</v>
      </c>
      <c r="H48" s="9" t="n">
        <v>5.96</v>
      </c>
      <c r="I48" s="9" t="n">
        <v>5.8</v>
      </c>
    </row>
    <row r="49" customFormat="false" ht="15" hidden="false" customHeight="false" outlineLevel="0" collapsed="false">
      <c r="A49" s="11" t="n">
        <v>41518</v>
      </c>
      <c r="B49" s="12" t="n">
        <v>2013</v>
      </c>
      <c r="C49" s="12" t="n">
        <v>9</v>
      </c>
      <c r="D49" s="13" t="n">
        <v>4.85</v>
      </c>
      <c r="E49" s="10" t="n">
        <v>4.59</v>
      </c>
      <c r="F49" s="13" t="n">
        <v>4.25</v>
      </c>
      <c r="G49" s="13" t="n">
        <v>41.85</v>
      </c>
      <c r="H49" s="13" t="n">
        <v>5.95</v>
      </c>
      <c r="I49" s="13" t="n">
        <v>6</v>
      </c>
    </row>
    <row r="50" customFormat="false" ht="15" hidden="false" customHeight="false" outlineLevel="0" collapsed="false">
      <c r="A50" s="7" t="n">
        <v>41548</v>
      </c>
      <c r="B50" s="8" t="n">
        <v>2013</v>
      </c>
      <c r="C50" s="8" t="n">
        <v>10</v>
      </c>
      <c r="D50" s="9" t="n">
        <v>4.61</v>
      </c>
      <c r="E50" s="10" t="n">
        <v>4.66</v>
      </c>
      <c r="F50" s="9" t="n">
        <v>4.25</v>
      </c>
      <c r="G50" s="9" t="n">
        <v>42.1</v>
      </c>
      <c r="H50" s="9" t="n">
        <v>6.45</v>
      </c>
      <c r="I50" s="9" t="n">
        <v>6.2</v>
      </c>
    </row>
    <row r="51" customFormat="false" ht="15" hidden="false" customHeight="false" outlineLevel="0" collapsed="false">
      <c r="A51" s="11" t="n">
        <v>41579</v>
      </c>
      <c r="B51" s="12" t="n">
        <v>2013</v>
      </c>
      <c r="C51" s="12" t="n">
        <v>11</v>
      </c>
      <c r="D51" s="13" t="n">
        <v>3.96</v>
      </c>
      <c r="E51" s="10" t="n">
        <v>4.52</v>
      </c>
      <c r="F51" s="13" t="n">
        <v>4.25</v>
      </c>
      <c r="G51" s="13" t="n">
        <v>42.4</v>
      </c>
      <c r="H51" s="13" t="n">
        <v>7.07</v>
      </c>
      <c r="I51" s="13" t="n">
        <v>6.5</v>
      </c>
    </row>
    <row r="52" customFormat="false" ht="15" hidden="false" customHeight="false" outlineLevel="0" collapsed="false">
      <c r="A52" s="7" t="n">
        <v>41609</v>
      </c>
      <c r="B52" s="8" t="n">
        <v>2013</v>
      </c>
      <c r="C52" s="8" t="n">
        <v>12</v>
      </c>
      <c r="D52" s="9" t="n">
        <v>3.88</v>
      </c>
      <c r="E52" s="10" t="n">
        <v>4.28</v>
      </c>
      <c r="F52" s="9" t="n">
        <v>4.25</v>
      </c>
      <c r="G52" s="9" t="n">
        <v>42.75</v>
      </c>
      <c r="H52" s="9" t="n">
        <v>7.82</v>
      </c>
      <c r="I52" s="9" t="n">
        <v>6.5</v>
      </c>
    </row>
    <row r="53" customFormat="false" ht="15" hidden="false" customHeight="false" outlineLevel="0" collapsed="false">
      <c r="A53" s="11" t="n">
        <v>41640</v>
      </c>
      <c r="B53" s="12" t="n">
        <v>2014</v>
      </c>
      <c r="C53" s="12" t="n">
        <v>1</v>
      </c>
      <c r="D53" s="13" t="n">
        <v>3.43</v>
      </c>
      <c r="E53" s="10" t="n">
        <v>4.06</v>
      </c>
      <c r="F53" s="13" t="n">
        <v>4.25</v>
      </c>
      <c r="G53" s="13" t="n">
        <v>42.95</v>
      </c>
      <c r="H53" s="13" t="n">
        <v>8.05</v>
      </c>
      <c r="I53" s="13" t="n">
        <v>6.5</v>
      </c>
    </row>
    <row r="54" customFormat="false" ht="15" hidden="false" customHeight="false" outlineLevel="0" collapsed="false">
      <c r="A54" s="7" t="n">
        <v>41671</v>
      </c>
      <c r="B54" s="8" t="n">
        <v>2014</v>
      </c>
      <c r="C54" s="8" t="n">
        <v>2</v>
      </c>
      <c r="D54" s="9" t="n">
        <v>3.18</v>
      </c>
      <c r="E54" s="10" t="n">
        <v>3.75</v>
      </c>
      <c r="F54" s="9" t="n">
        <v>4.25</v>
      </c>
      <c r="G54" s="9" t="n">
        <v>43.1</v>
      </c>
      <c r="H54" s="9" t="n">
        <v>6.95</v>
      </c>
      <c r="I54" s="9" t="n">
        <v>7</v>
      </c>
    </row>
    <row r="55" customFormat="false" ht="15" hidden="false" customHeight="false" outlineLevel="0" collapsed="false">
      <c r="A55" s="11" t="n">
        <v>41699</v>
      </c>
      <c r="B55" s="12" t="n">
        <v>2014</v>
      </c>
      <c r="C55" s="12" t="n">
        <v>3</v>
      </c>
      <c r="D55" s="13" t="n">
        <v>2.95</v>
      </c>
      <c r="E55" s="10" t="n">
        <v>3.72</v>
      </c>
      <c r="F55" s="13" t="n">
        <v>4.25</v>
      </c>
      <c r="G55" s="13" t="n">
        <v>43.2</v>
      </c>
      <c r="H55" s="13" t="n">
        <v>5.49</v>
      </c>
      <c r="I55" s="13" t="n">
        <v>7.5</v>
      </c>
    </row>
    <row r="56" customFormat="false" ht="15" hidden="false" customHeight="false" outlineLevel="0" collapsed="false">
      <c r="A56" s="7" t="n">
        <v>41730</v>
      </c>
      <c r="B56" s="8" t="n">
        <v>2014</v>
      </c>
      <c r="C56" s="8" t="n">
        <v>4</v>
      </c>
      <c r="D56" s="9" t="n">
        <v>3.05</v>
      </c>
      <c r="E56" s="10" t="n">
        <v>3.43</v>
      </c>
      <c r="F56" s="9" t="n">
        <v>4.25</v>
      </c>
      <c r="G56" s="9" t="n">
        <v>43.3</v>
      </c>
      <c r="H56" s="9" t="n">
        <v>4.84</v>
      </c>
      <c r="I56" s="9" t="n">
        <v>7</v>
      </c>
    </row>
    <row r="57" customFormat="false" ht="15" hidden="false" customHeight="false" outlineLevel="0" collapsed="false">
      <c r="A57" s="11" t="n">
        <v>41760</v>
      </c>
      <c r="B57" s="12" t="n">
        <v>2014</v>
      </c>
      <c r="C57" s="12" t="n">
        <v>5</v>
      </c>
      <c r="D57" s="13" t="n">
        <v>2.49</v>
      </c>
      <c r="E57" s="10" t="n">
        <v>3.26</v>
      </c>
      <c r="F57" s="13" t="n">
        <v>4.25</v>
      </c>
      <c r="G57" s="13" t="n">
        <v>43.35</v>
      </c>
      <c r="H57" s="13" t="n">
        <v>4.58</v>
      </c>
      <c r="I57" s="13" t="n">
        <v>7</v>
      </c>
    </row>
    <row r="58" customFormat="false" ht="15" hidden="false" customHeight="false" outlineLevel="0" collapsed="false">
      <c r="A58" s="7" t="n">
        <v>41791</v>
      </c>
      <c r="B58" s="8" t="n">
        <v>2014</v>
      </c>
      <c r="C58" s="8" t="n">
        <v>6</v>
      </c>
      <c r="D58" s="9" t="n">
        <v>2.42</v>
      </c>
      <c r="E58" s="10" t="n">
        <v>3.52</v>
      </c>
      <c r="F58" s="9" t="n">
        <v>6.25</v>
      </c>
      <c r="G58" s="9" t="n">
        <v>43.4</v>
      </c>
      <c r="H58" s="9" t="n">
        <v>4.45</v>
      </c>
      <c r="I58" s="9" t="n">
        <v>7</v>
      </c>
    </row>
    <row r="59" customFormat="false" ht="15" hidden="false" customHeight="false" outlineLevel="0" collapsed="false">
      <c r="A59" s="11" t="n">
        <v>41821</v>
      </c>
      <c r="B59" s="12" t="n">
        <v>2014</v>
      </c>
      <c r="C59" s="12" t="n">
        <v>7</v>
      </c>
      <c r="D59" s="13" t="n">
        <v>3.03</v>
      </c>
      <c r="E59" s="10" t="n">
        <v>3.26</v>
      </c>
      <c r="F59" s="13" t="n">
        <v>6.25</v>
      </c>
      <c r="G59" s="13" t="n">
        <v>43.55</v>
      </c>
      <c r="H59" s="13" t="n">
        <v>4.56</v>
      </c>
      <c r="I59" s="13" t="n">
        <v>7.2</v>
      </c>
    </row>
    <row r="60" customFormat="false" ht="15" hidden="false" customHeight="false" outlineLevel="0" collapsed="false">
      <c r="A60" s="7" t="n">
        <v>41852</v>
      </c>
      <c r="B60" s="8" t="n">
        <v>2014</v>
      </c>
      <c r="C60" s="8" t="n">
        <v>8</v>
      </c>
      <c r="D60" s="9" t="n">
        <v>2.84</v>
      </c>
      <c r="E60" s="10" t="n">
        <v>3.19</v>
      </c>
      <c r="F60" s="9" t="n">
        <v>6.25</v>
      </c>
      <c r="G60" s="9" t="n">
        <v>43.65</v>
      </c>
      <c r="H60" s="9" t="n">
        <v>4.55</v>
      </c>
      <c r="I60" s="9" t="n">
        <v>7.5</v>
      </c>
    </row>
    <row r="61" customFormat="false" ht="15" hidden="false" customHeight="false" outlineLevel="0" collapsed="false">
      <c r="A61" s="11" t="n">
        <v>41883</v>
      </c>
      <c r="B61" s="12" t="n">
        <v>2014</v>
      </c>
      <c r="C61" s="12" t="n">
        <v>9</v>
      </c>
      <c r="D61" s="13" t="n">
        <v>2.59</v>
      </c>
      <c r="E61" s="10" t="n">
        <v>3.33</v>
      </c>
      <c r="F61" s="13" t="n">
        <v>6.25</v>
      </c>
      <c r="G61" s="13" t="n">
        <v>43.85</v>
      </c>
      <c r="H61" s="13" t="n">
        <v>4.78</v>
      </c>
      <c r="I61" s="13" t="n">
        <v>7</v>
      </c>
    </row>
    <row r="62" customFormat="false" ht="15" hidden="false" customHeight="false" outlineLevel="0" collapsed="false">
      <c r="A62" s="7" t="n">
        <v>41913</v>
      </c>
      <c r="B62" s="8" t="n">
        <v>2014</v>
      </c>
      <c r="C62" s="8" t="n">
        <v>10</v>
      </c>
      <c r="D62" s="9" t="n">
        <v>2.41</v>
      </c>
      <c r="E62" s="10" t="n">
        <v>3.29</v>
      </c>
      <c r="F62" s="9" t="n">
        <v>6.25</v>
      </c>
      <c r="G62" s="9" t="n">
        <v>44</v>
      </c>
      <c r="H62" s="9" t="n">
        <v>4.51</v>
      </c>
      <c r="I62" s="9" t="n">
        <v>7.2</v>
      </c>
    </row>
    <row r="63" customFormat="false" ht="15" hidden="false" customHeight="false" outlineLevel="0" collapsed="false">
      <c r="A63" s="11" t="n">
        <v>41944</v>
      </c>
      <c r="B63" s="12" t="n">
        <v>2014</v>
      </c>
      <c r="C63" s="12" t="n">
        <v>11</v>
      </c>
      <c r="D63" s="13" t="n">
        <v>2.5</v>
      </c>
      <c r="E63" s="10" t="n">
        <v>3.14</v>
      </c>
      <c r="F63" s="13" t="n">
        <v>6.25</v>
      </c>
      <c r="G63" s="13" t="n">
        <v>44.1</v>
      </c>
      <c r="H63" s="13" t="n">
        <v>4.01</v>
      </c>
      <c r="I63" s="13" t="n">
        <v>7</v>
      </c>
    </row>
    <row r="64" customFormat="false" ht="15" hidden="false" customHeight="false" outlineLevel="0" collapsed="false">
      <c r="A64" s="7" t="n">
        <v>41974</v>
      </c>
      <c r="B64" s="8" t="n">
        <v>2014</v>
      </c>
      <c r="C64" s="8" t="n">
        <v>12</v>
      </c>
      <c r="D64" s="9" t="n">
        <v>1.58</v>
      </c>
      <c r="E64" s="10" t="n">
        <v>3.06</v>
      </c>
      <c r="F64" s="9" t="n">
        <v>6.25</v>
      </c>
      <c r="G64" s="9" t="n">
        <v>44.2</v>
      </c>
      <c r="H64" s="9" t="n">
        <v>3.39</v>
      </c>
      <c r="I64" s="9" t="n">
        <v>7.3</v>
      </c>
    </row>
    <row r="65" customFormat="false" ht="15" hidden="false" customHeight="false" outlineLevel="0" collapsed="false">
      <c r="A65" s="11" t="n">
        <v>42005</v>
      </c>
      <c r="B65" s="12" t="n">
        <v>2015</v>
      </c>
      <c r="C65" s="12" t="n">
        <v>1</v>
      </c>
      <c r="D65" s="13" t="n">
        <v>0.82</v>
      </c>
      <c r="E65" s="10" t="n">
        <v>2.96</v>
      </c>
      <c r="F65" s="13" t="n">
        <v>6.25</v>
      </c>
      <c r="G65" s="13" t="n">
        <v>44.3</v>
      </c>
      <c r="H65" s="13" t="n">
        <v>3.14</v>
      </c>
      <c r="I65" s="13" t="n">
        <v>7</v>
      </c>
    </row>
    <row r="66" customFormat="false" ht="15" hidden="false" customHeight="false" outlineLevel="0" collapsed="false">
      <c r="A66" s="7" t="n">
        <v>42036</v>
      </c>
      <c r="B66" s="8" t="n">
        <v>2015</v>
      </c>
      <c r="C66" s="8" t="n">
        <v>2</v>
      </c>
      <c r="D66" s="9" t="n">
        <v>0.16</v>
      </c>
      <c r="E66" s="10" t="n">
        <v>2.57</v>
      </c>
      <c r="F66" s="9" t="n">
        <v>6.25</v>
      </c>
      <c r="G66" s="9" t="n">
        <v>44.4</v>
      </c>
      <c r="H66" s="9" t="n">
        <v>3.02</v>
      </c>
      <c r="I66" s="9" t="n">
        <v>7</v>
      </c>
    </row>
    <row r="67" customFormat="false" ht="15" hidden="false" customHeight="false" outlineLevel="0" collapsed="false">
      <c r="A67" s="11" t="n">
        <v>42064</v>
      </c>
      <c r="B67" s="12" t="n">
        <v>2015</v>
      </c>
      <c r="C67" s="12" t="n">
        <v>3</v>
      </c>
      <c r="D67" s="13" t="n">
        <v>0.04</v>
      </c>
      <c r="E67" s="10" t="n">
        <v>2.22</v>
      </c>
      <c r="F67" s="13" t="n">
        <v>6.25</v>
      </c>
      <c r="G67" s="13" t="n">
        <v>44.55</v>
      </c>
      <c r="H67" s="13" t="n">
        <v>3.12</v>
      </c>
      <c r="I67" s="13" t="n">
        <v>6.8</v>
      </c>
    </row>
    <row r="68" customFormat="false" ht="15" hidden="false" customHeight="false" outlineLevel="0" collapsed="false">
      <c r="A68" s="7" t="n">
        <v>42095</v>
      </c>
      <c r="B68" s="8" t="n">
        <v>2015</v>
      </c>
      <c r="C68" s="8" t="n">
        <v>4</v>
      </c>
      <c r="D68" s="9" t="n">
        <v>0.34</v>
      </c>
      <c r="E68" s="10" t="n">
        <v>2.11</v>
      </c>
      <c r="F68" s="9" t="n">
        <v>6.25</v>
      </c>
      <c r="G68" s="9" t="n">
        <v>44.7</v>
      </c>
      <c r="H68" s="9" t="n">
        <v>3.23</v>
      </c>
      <c r="I68" s="9" t="n">
        <v>6.5</v>
      </c>
    </row>
    <row r="69" customFormat="false" ht="15" hidden="false" customHeight="false" outlineLevel="0" collapsed="false">
      <c r="A69" s="11" t="n">
        <v>42125</v>
      </c>
      <c r="B69" s="12" t="n">
        <v>2015</v>
      </c>
      <c r="C69" s="12" t="n">
        <v>5</v>
      </c>
      <c r="D69" s="13" t="n">
        <v>0.46</v>
      </c>
      <c r="E69" s="10" t="n">
        <v>1.89</v>
      </c>
      <c r="F69" s="13" t="n">
        <v>5.5</v>
      </c>
      <c r="G69" s="13" t="n">
        <v>44.8</v>
      </c>
      <c r="H69" s="13" t="n">
        <v>3.34</v>
      </c>
      <c r="I69" s="13" t="n">
        <v>6.5</v>
      </c>
    </row>
    <row r="70" customFormat="false" ht="15" hidden="false" customHeight="false" outlineLevel="0" collapsed="false">
      <c r="A70" s="7" t="n">
        <v>42156</v>
      </c>
      <c r="B70" s="8" t="n">
        <v>2015</v>
      </c>
      <c r="C70" s="8" t="n">
        <v>6</v>
      </c>
      <c r="D70" s="9" t="n">
        <v>0.61</v>
      </c>
      <c r="E70" s="10" t="n">
        <v>1.71</v>
      </c>
      <c r="F70" s="9" t="n">
        <v>5</v>
      </c>
      <c r="G70" s="9" t="n">
        <v>44.9</v>
      </c>
      <c r="H70" s="9" t="n">
        <v>3.46</v>
      </c>
      <c r="I70" s="9" t="n">
        <v>6.8</v>
      </c>
    </row>
    <row r="71" customFormat="false" ht="15" hidden="false" customHeight="false" outlineLevel="0" collapsed="false">
      <c r="A71" s="11" t="n">
        <v>42186</v>
      </c>
      <c r="B71" s="12" t="n">
        <v>2015</v>
      </c>
      <c r="C71" s="12" t="n">
        <v>7</v>
      </c>
      <c r="D71" s="13" t="n">
        <v>0.2</v>
      </c>
      <c r="E71" s="10" t="n">
        <v>1.68</v>
      </c>
      <c r="F71" s="13" t="n">
        <v>5</v>
      </c>
      <c r="G71" s="13" t="n">
        <v>45.05</v>
      </c>
      <c r="H71" s="13" t="n">
        <v>3.44</v>
      </c>
      <c r="I71" s="13" t="n">
        <v>7</v>
      </c>
    </row>
    <row r="72" customFormat="false" ht="15" hidden="false" customHeight="false" outlineLevel="0" collapsed="false">
      <c r="A72" s="7" t="n">
        <v>42217</v>
      </c>
      <c r="B72" s="8" t="n">
        <v>2015</v>
      </c>
      <c r="C72" s="8" t="n">
        <v>8</v>
      </c>
      <c r="D72" s="9" t="n">
        <v>0.43</v>
      </c>
      <c r="E72" s="10" t="n">
        <v>1.6</v>
      </c>
      <c r="F72" s="9" t="n">
        <v>5</v>
      </c>
      <c r="G72" s="9" t="n">
        <v>45.2</v>
      </c>
      <c r="H72" s="9" t="n">
        <v>3.55</v>
      </c>
      <c r="I72" s="9" t="n">
        <v>7</v>
      </c>
    </row>
    <row r="73" customFormat="false" ht="15" hidden="false" customHeight="false" outlineLevel="0" collapsed="false">
      <c r="A73" s="11" t="n">
        <v>42248</v>
      </c>
      <c r="B73" s="12" t="n">
        <v>2015</v>
      </c>
      <c r="C73" s="12" t="n">
        <v>9</v>
      </c>
      <c r="D73" s="13" t="n">
        <v>0.54</v>
      </c>
      <c r="E73" s="10" t="n">
        <v>1.64</v>
      </c>
      <c r="F73" s="13" t="n">
        <v>5</v>
      </c>
      <c r="G73" s="13" t="n">
        <v>45.3</v>
      </c>
      <c r="H73" s="13" t="n">
        <v>3.31</v>
      </c>
      <c r="I73" s="13" t="n">
        <v>7</v>
      </c>
    </row>
    <row r="74" customFormat="false" ht="15" hidden="false" customHeight="false" outlineLevel="0" collapsed="false">
      <c r="A74" s="7" t="n">
        <v>42278</v>
      </c>
      <c r="B74" s="8" t="n">
        <v>2015</v>
      </c>
      <c r="C74" s="8" t="n">
        <v>10</v>
      </c>
      <c r="D74" s="9" t="n">
        <v>1.13</v>
      </c>
      <c r="E74" s="10" t="n">
        <v>1.77</v>
      </c>
      <c r="F74" s="9" t="n">
        <v>5</v>
      </c>
      <c r="G74" s="9" t="n">
        <v>45.4</v>
      </c>
      <c r="H74" s="9" t="n">
        <v>3.18</v>
      </c>
      <c r="I74" s="9" t="n">
        <v>6.8</v>
      </c>
    </row>
    <row r="75" customFormat="false" ht="15" hidden="false" customHeight="false" outlineLevel="0" collapsed="false">
      <c r="A75" s="11" t="n">
        <v>42309</v>
      </c>
      <c r="B75" s="12" t="n">
        <v>2015</v>
      </c>
      <c r="C75" s="12" t="n">
        <v>11</v>
      </c>
      <c r="D75" s="13" t="n">
        <v>1.62</v>
      </c>
      <c r="E75" s="10" t="n">
        <v>1.87</v>
      </c>
      <c r="F75" s="13" t="n">
        <v>5</v>
      </c>
      <c r="G75" s="13" t="n">
        <v>45.4</v>
      </c>
      <c r="H75" s="13" t="n">
        <v>2.95</v>
      </c>
      <c r="I75" s="13" t="n">
        <v>6.8</v>
      </c>
    </row>
    <row r="76" customFormat="false" ht="15" hidden="false" customHeight="false" outlineLevel="0" collapsed="false">
      <c r="A76" s="7" t="n">
        <v>42339</v>
      </c>
      <c r="B76" s="8" t="n">
        <v>2015</v>
      </c>
      <c r="C76" s="8" t="n">
        <v>12</v>
      </c>
      <c r="D76" s="9" t="n">
        <v>2.34</v>
      </c>
      <c r="E76" s="10" t="n">
        <v>2.01</v>
      </c>
      <c r="F76" s="9" t="n">
        <v>5</v>
      </c>
      <c r="G76" s="9" t="n">
        <v>45.45</v>
      </c>
      <c r="H76" s="9" t="n">
        <v>2.83</v>
      </c>
      <c r="I76" s="9" t="n">
        <v>7</v>
      </c>
    </row>
    <row r="77" customFormat="false" ht="15" hidden="false" customHeight="false" outlineLevel="0" collapsed="false">
      <c r="A77" s="11" t="n">
        <v>42370</v>
      </c>
      <c r="B77" s="12" t="n">
        <v>2016</v>
      </c>
      <c r="C77" s="12" t="n">
        <v>1</v>
      </c>
      <c r="D77" s="13" t="n">
        <v>2.18</v>
      </c>
      <c r="E77" s="10" t="n">
        <v>2.27</v>
      </c>
      <c r="F77" s="13" t="n">
        <v>5</v>
      </c>
      <c r="G77" s="13" t="n">
        <v>45.65</v>
      </c>
      <c r="H77" s="13" t="n">
        <v>3.05</v>
      </c>
      <c r="I77" s="13" t="n">
        <v>7</v>
      </c>
    </row>
    <row r="78" customFormat="false" ht="15" hidden="false" customHeight="false" outlineLevel="0" collapsed="false">
      <c r="A78" s="7" t="n">
        <v>42401</v>
      </c>
      <c r="B78" s="8" t="n">
        <v>2016</v>
      </c>
      <c r="C78" s="8" t="n">
        <v>2</v>
      </c>
      <c r="D78" s="9" t="n">
        <v>2.55</v>
      </c>
      <c r="E78" s="10" t="n">
        <v>2.46</v>
      </c>
      <c r="F78" s="9" t="n">
        <v>5</v>
      </c>
      <c r="G78" s="9" t="n">
        <v>45.8</v>
      </c>
      <c r="H78" s="9" t="n">
        <v>3.15</v>
      </c>
      <c r="I78" s="9" t="n">
        <v>6.8</v>
      </c>
    </row>
    <row r="79" customFormat="false" ht="15" hidden="false" customHeight="false" outlineLevel="0" collapsed="false">
      <c r="A79" s="11" t="n">
        <v>42430</v>
      </c>
      <c r="B79" s="12" t="n">
        <v>2016</v>
      </c>
      <c r="C79" s="12" t="n">
        <v>3</v>
      </c>
      <c r="D79" s="13" t="n">
        <v>1.7</v>
      </c>
      <c r="E79" s="10" t="n">
        <v>2.59</v>
      </c>
      <c r="F79" s="13" t="n">
        <v>5</v>
      </c>
      <c r="G79" s="13" t="n">
        <v>46</v>
      </c>
      <c r="H79" s="13" t="n">
        <v>3.25</v>
      </c>
      <c r="I79" s="13" t="n">
        <v>6.5</v>
      </c>
    </row>
    <row r="80" customFormat="false" ht="15" hidden="false" customHeight="false" outlineLevel="0" collapsed="false">
      <c r="A80" s="7" t="n">
        <v>42461</v>
      </c>
      <c r="B80" s="8" t="n">
        <v>2016</v>
      </c>
      <c r="C80" s="8" t="n">
        <v>4</v>
      </c>
      <c r="D80" s="9" t="n">
        <v>1.62</v>
      </c>
      <c r="E80" s="10" t="n">
        <v>2.68</v>
      </c>
      <c r="F80" s="9" t="n">
        <v>5</v>
      </c>
      <c r="G80" s="9" t="n">
        <v>46.1</v>
      </c>
      <c r="H80" s="9" t="n">
        <v>3.13</v>
      </c>
      <c r="I80" s="9" t="n">
        <v>6.5</v>
      </c>
    </row>
    <row r="81" customFormat="false" ht="15" hidden="false" customHeight="false" outlineLevel="0" collapsed="false">
      <c r="A81" s="11" t="n">
        <v>42491</v>
      </c>
      <c r="B81" s="12" t="n">
        <v>2016</v>
      </c>
      <c r="C81" s="12" t="n">
        <v>5</v>
      </c>
      <c r="D81" s="13" t="n">
        <v>1.46</v>
      </c>
      <c r="E81" s="10" t="n">
        <v>2.72</v>
      </c>
      <c r="F81" s="13" t="n">
        <v>5</v>
      </c>
      <c r="G81" s="13" t="n">
        <v>46.15</v>
      </c>
      <c r="H81" s="13" t="n">
        <v>3.01</v>
      </c>
      <c r="I81" s="13" t="n">
        <v>7</v>
      </c>
    </row>
    <row r="82" customFormat="false" ht="15" hidden="false" customHeight="false" outlineLevel="0" collapsed="false">
      <c r="A82" s="7" t="n">
        <v>42522</v>
      </c>
      <c r="B82" s="8" t="n">
        <v>2016</v>
      </c>
      <c r="C82" s="8" t="n">
        <v>6</v>
      </c>
      <c r="D82" s="9" t="n">
        <v>1.62</v>
      </c>
      <c r="E82" s="10" t="n">
        <v>2.68</v>
      </c>
      <c r="F82" s="9" t="n">
        <v>5</v>
      </c>
      <c r="G82" s="9" t="n">
        <v>46.25</v>
      </c>
      <c r="H82" s="9" t="n">
        <v>3.01</v>
      </c>
      <c r="I82" s="9" t="n">
        <v>7</v>
      </c>
    </row>
    <row r="83" customFormat="false" ht="15" hidden="false" customHeight="false" outlineLevel="0" collapsed="false">
      <c r="A83" s="11" t="n">
        <v>42552</v>
      </c>
      <c r="B83" s="12" t="n">
        <v>2016</v>
      </c>
      <c r="C83" s="12" t="n">
        <v>7</v>
      </c>
      <c r="D83" s="13" t="n">
        <v>1.61</v>
      </c>
      <c r="E83" s="10" t="n">
        <v>2.64</v>
      </c>
      <c r="F83" s="13" t="n">
        <v>5</v>
      </c>
      <c r="G83" s="13" t="n">
        <v>46.3</v>
      </c>
      <c r="H83" s="13" t="n">
        <v>2.77</v>
      </c>
      <c r="I83" s="13" t="n">
        <v>6.8</v>
      </c>
    </row>
    <row r="84" customFormat="false" ht="15" hidden="false" customHeight="false" outlineLevel="0" collapsed="false">
      <c r="A84" s="7" t="n">
        <v>42583</v>
      </c>
      <c r="B84" s="8" t="n">
        <v>2016</v>
      </c>
      <c r="C84" s="8" t="n">
        <v>8</v>
      </c>
      <c r="D84" s="9" t="n">
        <v>1.21</v>
      </c>
      <c r="E84" s="10" t="n">
        <v>2.66</v>
      </c>
      <c r="F84" s="9" t="n">
        <v>5</v>
      </c>
      <c r="G84" s="9" t="n">
        <v>46.3</v>
      </c>
      <c r="H84" s="9" t="n">
        <v>2.43</v>
      </c>
      <c r="I84" s="9" t="n">
        <v>6.5</v>
      </c>
    </row>
    <row r="85" customFormat="false" ht="15" hidden="false" customHeight="false" outlineLevel="0" collapsed="false">
      <c r="A85" s="11" t="n">
        <v>42614</v>
      </c>
      <c r="B85" s="12" t="n">
        <v>2016</v>
      </c>
      <c r="C85" s="12" t="n">
        <v>9</v>
      </c>
      <c r="D85" s="13" t="n">
        <v>1.14</v>
      </c>
      <c r="E85" s="10" t="n">
        <v>2.34</v>
      </c>
      <c r="F85" s="13" t="n">
        <v>5</v>
      </c>
      <c r="G85" s="13" t="n">
        <v>46.3</v>
      </c>
      <c r="H85" s="13" t="n">
        <v>2.21</v>
      </c>
      <c r="I85" s="13" t="n">
        <v>6.5</v>
      </c>
    </row>
    <row r="86" customFormat="false" ht="15" hidden="false" customHeight="false" outlineLevel="0" collapsed="false">
      <c r="A86" s="7" t="n">
        <v>42644</v>
      </c>
      <c r="B86" s="8" t="n">
        <v>2016</v>
      </c>
      <c r="C86" s="8" t="n">
        <v>10</v>
      </c>
      <c r="D86" s="9" t="n">
        <v>0.96</v>
      </c>
      <c r="E86" s="10" t="n">
        <v>2.3</v>
      </c>
      <c r="F86" s="9" t="n">
        <v>5</v>
      </c>
      <c r="G86" s="9" t="n">
        <v>46.55</v>
      </c>
      <c r="H86" s="9" t="n">
        <v>2.53</v>
      </c>
      <c r="I86" s="9" t="n">
        <v>6.8</v>
      </c>
    </row>
    <row r="87" customFormat="false" ht="15" hidden="false" customHeight="false" outlineLevel="0" collapsed="false">
      <c r="A87" s="11" t="n">
        <v>42675</v>
      </c>
      <c r="B87" s="12" t="n">
        <v>2016</v>
      </c>
      <c r="C87" s="12" t="n">
        <v>11</v>
      </c>
      <c r="D87" s="13" t="n">
        <v>1.34</v>
      </c>
      <c r="E87" s="10" t="n">
        <v>2.52</v>
      </c>
      <c r="F87" s="13" t="n">
        <v>5.5</v>
      </c>
      <c r="G87" s="13" t="n">
        <v>46.6</v>
      </c>
      <c r="H87" s="13" t="n">
        <v>2.64</v>
      </c>
      <c r="I87" s="13" t="n">
        <v>7</v>
      </c>
    </row>
    <row r="88" customFormat="false" ht="15" hidden="false" customHeight="false" outlineLevel="0" collapsed="false">
      <c r="A88" s="7" t="n">
        <v>42705</v>
      </c>
      <c r="B88" s="8" t="n">
        <v>2016</v>
      </c>
      <c r="C88" s="8" t="n">
        <v>12</v>
      </c>
      <c r="D88" s="9" t="n">
        <v>1.7</v>
      </c>
      <c r="E88" s="10" t="n">
        <v>2.3</v>
      </c>
      <c r="F88" s="9" t="n">
        <v>5.5</v>
      </c>
      <c r="G88" s="9" t="n">
        <v>46.65</v>
      </c>
      <c r="H88" s="9" t="n">
        <v>2.64</v>
      </c>
      <c r="I88" s="9" t="n">
        <v>6.6</v>
      </c>
    </row>
    <row r="89" customFormat="false" ht="15" hidden="false" customHeight="false" outlineLevel="0" collapsed="false">
      <c r="A89" s="11" t="n">
        <v>42736</v>
      </c>
      <c r="B89" s="12" t="n">
        <v>2017</v>
      </c>
      <c r="C89" s="12" t="n">
        <v>1</v>
      </c>
      <c r="D89" s="13" t="n">
        <v>2.33</v>
      </c>
      <c r="E89" s="10" t="n">
        <v>2.46</v>
      </c>
      <c r="F89" s="13" t="n">
        <v>5.5</v>
      </c>
      <c r="G89" s="13" t="n">
        <v>46.85</v>
      </c>
      <c r="H89" s="13" t="n">
        <v>2.63</v>
      </c>
      <c r="I89" s="13" t="n">
        <v>5</v>
      </c>
    </row>
    <row r="90" customFormat="false" ht="15" hidden="false" customHeight="false" outlineLevel="0" collapsed="false">
      <c r="A90" s="7" t="n">
        <v>42767</v>
      </c>
      <c r="B90" s="8" t="n">
        <v>2017</v>
      </c>
      <c r="C90" s="8" t="n">
        <v>2</v>
      </c>
      <c r="D90" s="9" t="n">
        <v>3.2</v>
      </c>
      <c r="E90" s="10" t="n">
        <v>2.71</v>
      </c>
      <c r="F90" s="9" t="n">
        <v>5.75</v>
      </c>
      <c r="G90" s="9" t="n">
        <v>47.05</v>
      </c>
      <c r="H90" s="9" t="n">
        <v>2.73</v>
      </c>
      <c r="I90" s="9" t="n">
        <v>4</v>
      </c>
    </row>
    <row r="91" customFormat="false" ht="15" hidden="false" customHeight="false" outlineLevel="0" collapsed="false">
      <c r="A91" s="11" t="n">
        <v>42795</v>
      </c>
      <c r="B91" s="12" t="n">
        <v>2017</v>
      </c>
      <c r="C91" s="12" t="n">
        <v>3</v>
      </c>
      <c r="D91" s="13" t="n">
        <v>3.25</v>
      </c>
      <c r="E91" s="10" t="n">
        <v>2.75</v>
      </c>
      <c r="F91" s="13" t="n">
        <v>5.75</v>
      </c>
      <c r="G91" s="13" t="n">
        <v>47.3</v>
      </c>
      <c r="H91" s="13" t="n">
        <v>2.83</v>
      </c>
      <c r="I91" s="13" t="n">
        <v>3.5</v>
      </c>
    </row>
    <row r="92" customFormat="false" ht="15" hidden="false" customHeight="false" outlineLevel="0" collapsed="false">
      <c r="A92" s="7" t="n">
        <v>42826</v>
      </c>
      <c r="B92" s="8" t="n">
        <v>2017</v>
      </c>
      <c r="C92" s="8" t="n">
        <v>4</v>
      </c>
      <c r="D92" s="9" t="n">
        <v>3.05</v>
      </c>
      <c r="E92" s="10" t="n">
        <v>3.12</v>
      </c>
      <c r="F92" s="9" t="n">
        <v>5.75</v>
      </c>
      <c r="G92" s="9" t="n">
        <v>47.4</v>
      </c>
      <c r="H92" s="9" t="n">
        <v>2.82</v>
      </c>
      <c r="I92" s="9" t="n">
        <v>4</v>
      </c>
    </row>
    <row r="93" customFormat="false" ht="15" hidden="false" customHeight="false" outlineLevel="0" collapsed="false">
      <c r="A93" s="11" t="n">
        <v>42856</v>
      </c>
      <c r="B93" s="12" t="n">
        <v>2017</v>
      </c>
      <c r="C93" s="12" t="n">
        <v>5</v>
      </c>
      <c r="D93" s="13" t="n">
        <v>3.21</v>
      </c>
      <c r="E93" s="10" t="n">
        <v>3.22</v>
      </c>
      <c r="F93" s="13" t="n">
        <v>5.75</v>
      </c>
      <c r="G93" s="13" t="n">
        <v>47.45</v>
      </c>
      <c r="H93" s="13" t="n">
        <v>2.82</v>
      </c>
      <c r="I93" s="13" t="n">
        <v>4.5</v>
      </c>
    </row>
    <row r="94" customFormat="false" ht="15" hidden="false" customHeight="false" outlineLevel="0" collapsed="false">
      <c r="A94" s="7" t="n">
        <v>42887</v>
      </c>
      <c r="B94" s="8" t="n">
        <v>2017</v>
      </c>
      <c r="C94" s="8" t="n">
        <v>6</v>
      </c>
      <c r="D94" s="9" t="n">
        <v>3.11</v>
      </c>
      <c r="E94" s="10" t="n">
        <v>3.12</v>
      </c>
      <c r="F94" s="9" t="n">
        <v>5.75</v>
      </c>
      <c r="G94" s="9" t="n">
        <v>47.5</v>
      </c>
      <c r="H94" s="9" t="n">
        <v>2.7</v>
      </c>
      <c r="I94" s="9" t="n">
        <v>5</v>
      </c>
    </row>
    <row r="95" customFormat="false" ht="15" hidden="false" customHeight="false" outlineLevel="0" collapsed="false">
      <c r="A95" s="11" t="n">
        <v>42917</v>
      </c>
      <c r="B95" s="12" t="n">
        <v>2017</v>
      </c>
      <c r="C95" s="12" t="n">
        <v>7</v>
      </c>
      <c r="D95" s="13" t="n">
        <v>3.41</v>
      </c>
      <c r="E95" s="10" t="n">
        <v>3.28</v>
      </c>
      <c r="F95" s="13" t="n">
        <v>5.5</v>
      </c>
      <c r="G95" s="13" t="n">
        <v>47.55</v>
      </c>
      <c r="H95" s="13" t="n">
        <v>2.7</v>
      </c>
      <c r="I95" s="13" t="n">
        <v>5.5</v>
      </c>
    </row>
    <row r="96" customFormat="false" ht="15" hidden="false" customHeight="false" outlineLevel="0" collapsed="false">
      <c r="A96" s="7" t="n">
        <v>42948</v>
      </c>
      <c r="B96" s="8" t="n">
        <v>2017</v>
      </c>
      <c r="C96" s="8" t="n">
        <v>8</v>
      </c>
      <c r="D96" s="9" t="n">
        <v>3.66</v>
      </c>
      <c r="E96" s="10" t="n">
        <v>3.49</v>
      </c>
      <c r="F96" s="9" t="n">
        <v>5.25</v>
      </c>
      <c r="G96" s="9" t="n">
        <v>47.55</v>
      </c>
      <c r="H96" s="9" t="n">
        <v>2.7</v>
      </c>
      <c r="I96" s="9" t="n">
        <v>5</v>
      </c>
    </row>
    <row r="97" customFormat="false" ht="15" hidden="false" customHeight="false" outlineLevel="0" collapsed="false">
      <c r="A97" s="11" t="n">
        <v>42979</v>
      </c>
      <c r="B97" s="12" t="n">
        <v>2017</v>
      </c>
      <c r="C97" s="12" t="n">
        <v>9</v>
      </c>
      <c r="D97" s="13" t="n">
        <v>4.06</v>
      </c>
      <c r="E97" s="10" t="n">
        <v>3.63</v>
      </c>
      <c r="F97" s="13" t="n">
        <v>5.25</v>
      </c>
      <c r="G97" s="13" t="n">
        <v>47.6</v>
      </c>
      <c r="H97" s="13" t="n">
        <v>2.81</v>
      </c>
      <c r="I97" s="13" t="n">
        <v>5</v>
      </c>
    </row>
    <row r="98" customFormat="false" ht="15" hidden="false" customHeight="false" outlineLevel="0" collapsed="false">
      <c r="A98" s="7" t="n">
        <v>43009</v>
      </c>
      <c r="B98" s="8" t="n">
        <v>2017</v>
      </c>
      <c r="C98" s="8" t="n">
        <v>10</v>
      </c>
      <c r="D98" s="9" t="n">
        <v>4.27</v>
      </c>
      <c r="E98" s="10" t="n">
        <v>3.8</v>
      </c>
      <c r="F98" s="9" t="n">
        <v>5.25</v>
      </c>
      <c r="G98" s="9" t="n">
        <v>47.75</v>
      </c>
      <c r="H98" s="9" t="n">
        <v>2.58</v>
      </c>
      <c r="I98" s="9" t="n">
        <v>5</v>
      </c>
    </row>
    <row r="99" customFormat="false" ht="15" hidden="false" customHeight="false" outlineLevel="0" collapsed="false">
      <c r="A99" s="11" t="n">
        <v>43040</v>
      </c>
      <c r="B99" s="12" t="n">
        <v>2017</v>
      </c>
      <c r="C99" s="12" t="n">
        <v>11</v>
      </c>
      <c r="D99" s="13" t="n">
        <v>4.18</v>
      </c>
      <c r="E99" s="10" t="n">
        <v>4.05</v>
      </c>
      <c r="F99" s="13" t="n">
        <v>5.25</v>
      </c>
      <c r="G99" s="13" t="n">
        <v>47.95</v>
      </c>
      <c r="H99" s="13" t="n">
        <v>2.9</v>
      </c>
      <c r="I99" s="13" t="n">
        <v>4.5</v>
      </c>
    </row>
    <row r="100" customFormat="false" ht="15" hidden="false" customHeight="false" outlineLevel="0" collapsed="false">
      <c r="A100" s="7" t="n">
        <v>43070</v>
      </c>
      <c r="B100" s="8" t="n">
        <v>2017</v>
      </c>
      <c r="C100" s="8" t="n">
        <v>12</v>
      </c>
      <c r="D100" s="9" t="n">
        <v>4.2</v>
      </c>
      <c r="E100" s="10" t="n">
        <v>4.01</v>
      </c>
      <c r="F100" s="9" t="n">
        <v>5.25</v>
      </c>
      <c r="G100" s="9" t="n">
        <v>48.2</v>
      </c>
      <c r="H100" s="9" t="n">
        <v>3.32</v>
      </c>
      <c r="I100" s="9" t="n">
        <v>4.6</v>
      </c>
    </row>
    <row r="101" customFormat="false" ht="15" hidden="false" customHeight="false" outlineLevel="0" collapsed="false">
      <c r="A101" s="11" t="n">
        <v>43101</v>
      </c>
      <c r="B101" s="12" t="n">
        <v>2018</v>
      </c>
      <c r="C101" s="12" t="n">
        <v>1</v>
      </c>
      <c r="D101" s="13" t="n">
        <v>4.37</v>
      </c>
      <c r="E101" s="10" t="n">
        <v>3.83</v>
      </c>
      <c r="F101" s="13" t="n">
        <v>5.25</v>
      </c>
      <c r="G101" s="13" t="n">
        <v>48.3</v>
      </c>
      <c r="H101" s="13" t="n">
        <v>3.09</v>
      </c>
      <c r="I101" s="13" t="n">
        <v>6.5</v>
      </c>
    </row>
    <row r="102" customFormat="false" ht="15" hidden="false" customHeight="false" outlineLevel="0" collapsed="false">
      <c r="A102" s="7" t="n">
        <v>43132</v>
      </c>
      <c r="B102" s="8" t="n">
        <v>2018</v>
      </c>
      <c r="C102" s="8" t="n">
        <v>2</v>
      </c>
      <c r="D102" s="9" t="n">
        <v>3.93</v>
      </c>
      <c r="E102" s="10" t="n">
        <v>4.01</v>
      </c>
      <c r="F102" s="9" t="n">
        <v>5.25</v>
      </c>
      <c r="G102" s="9" t="n">
        <v>48.5</v>
      </c>
      <c r="H102" s="9" t="n">
        <v>3.08</v>
      </c>
      <c r="I102" s="9" t="n">
        <v>7</v>
      </c>
    </row>
    <row r="103" customFormat="false" ht="15" hidden="false" customHeight="false" outlineLevel="0" collapsed="false">
      <c r="A103" s="11" t="n">
        <v>43160</v>
      </c>
      <c r="B103" s="12" t="n">
        <v>2018</v>
      </c>
      <c r="C103" s="12" t="n">
        <v>3</v>
      </c>
      <c r="D103" s="13" t="n">
        <v>3.91</v>
      </c>
      <c r="E103" s="10" t="n">
        <v>4.13</v>
      </c>
      <c r="F103" s="13" t="n">
        <v>5.25</v>
      </c>
      <c r="G103" s="13" t="n">
        <v>48.85</v>
      </c>
      <c r="H103" s="13" t="n">
        <v>3.28</v>
      </c>
      <c r="I103" s="13" t="n">
        <v>7.5</v>
      </c>
    </row>
    <row r="104" customFormat="false" ht="15" hidden="false" customHeight="false" outlineLevel="0" collapsed="false">
      <c r="A104" s="7" t="n">
        <v>43191</v>
      </c>
      <c r="B104" s="8" t="n">
        <v>2018</v>
      </c>
      <c r="C104" s="8" t="n">
        <v>4</v>
      </c>
      <c r="D104" s="9" t="n">
        <v>3.62</v>
      </c>
      <c r="E104" s="10" t="n">
        <v>4.05</v>
      </c>
      <c r="F104" s="9" t="n">
        <v>5.25</v>
      </c>
      <c r="G104" s="9" t="n">
        <v>49</v>
      </c>
      <c r="H104" s="9" t="n">
        <v>3.38</v>
      </c>
      <c r="I104" s="9" t="n">
        <v>7.5</v>
      </c>
    </row>
    <row r="105" customFormat="false" ht="15" hidden="false" customHeight="false" outlineLevel="0" collapsed="false">
      <c r="A105" s="11" t="n">
        <v>43221</v>
      </c>
      <c r="B105" s="12" t="n">
        <v>2018</v>
      </c>
      <c r="C105" s="12" t="n">
        <v>5</v>
      </c>
      <c r="D105" s="13" t="n">
        <v>4.14</v>
      </c>
      <c r="E105" s="10" t="n">
        <v>3.88</v>
      </c>
      <c r="F105" s="13" t="n">
        <v>5.25</v>
      </c>
      <c r="G105" s="13" t="n">
        <v>49.2</v>
      </c>
      <c r="H105" s="13" t="n">
        <v>3.69</v>
      </c>
      <c r="I105" s="13" t="n">
        <v>7</v>
      </c>
    </row>
    <row r="106" customFormat="false" ht="15" hidden="false" customHeight="false" outlineLevel="0" collapsed="false">
      <c r="A106" s="7" t="n">
        <v>43252</v>
      </c>
      <c r="B106" s="8" t="n">
        <v>2018</v>
      </c>
      <c r="C106" s="8" t="n">
        <v>6</v>
      </c>
      <c r="D106" s="9" t="n">
        <v>4.62</v>
      </c>
      <c r="E106" s="10" t="n">
        <v>3.97</v>
      </c>
      <c r="F106" s="9" t="n">
        <v>5.25</v>
      </c>
      <c r="G106" s="9" t="n">
        <v>49.55</v>
      </c>
      <c r="H106" s="9" t="n">
        <v>4.32</v>
      </c>
      <c r="I106" s="9" t="n">
        <v>7</v>
      </c>
    </row>
    <row r="107" customFormat="false" ht="15" hidden="false" customHeight="false" outlineLevel="0" collapsed="false">
      <c r="A107" s="11" t="n">
        <v>43282</v>
      </c>
      <c r="B107" s="12" t="n">
        <v>2018</v>
      </c>
      <c r="C107" s="12" t="n">
        <v>7</v>
      </c>
      <c r="D107" s="13" t="n">
        <v>4.43</v>
      </c>
      <c r="E107" s="10" t="n">
        <v>4.2</v>
      </c>
      <c r="F107" s="13" t="n">
        <v>5.5</v>
      </c>
      <c r="G107" s="13" t="n">
        <v>49.6</v>
      </c>
      <c r="H107" s="13" t="n">
        <v>4.31</v>
      </c>
      <c r="I107" s="13" t="n">
        <v>7</v>
      </c>
    </row>
    <row r="108" customFormat="false" ht="15" hidden="false" customHeight="false" outlineLevel="0" collapsed="false">
      <c r="A108" s="7" t="n">
        <v>43313</v>
      </c>
      <c r="B108" s="8" t="n">
        <v>2018</v>
      </c>
      <c r="C108" s="8" t="n">
        <v>8</v>
      </c>
      <c r="D108" s="9" t="n">
        <v>4.04</v>
      </c>
      <c r="E108" s="10" t="n">
        <v>4.11</v>
      </c>
      <c r="F108" s="9" t="n">
        <v>5.5</v>
      </c>
      <c r="G108" s="9" t="n">
        <v>49.65</v>
      </c>
      <c r="H108" s="9" t="n">
        <v>4.42</v>
      </c>
      <c r="I108" s="9" t="n">
        <v>7</v>
      </c>
    </row>
    <row r="109" customFormat="false" ht="15" hidden="false" customHeight="false" outlineLevel="0" collapsed="false">
      <c r="A109" s="11" t="n">
        <v>43344</v>
      </c>
      <c r="B109" s="12" t="n">
        <v>2018</v>
      </c>
      <c r="C109" s="12" t="n">
        <v>9</v>
      </c>
      <c r="D109" s="13" t="n">
        <v>3.32</v>
      </c>
      <c r="E109" s="10" t="n">
        <v>4.29</v>
      </c>
      <c r="F109" s="13" t="n">
        <v>5.5</v>
      </c>
      <c r="G109" s="13" t="n">
        <v>49.8</v>
      </c>
      <c r="H109" s="13" t="n">
        <v>4.62</v>
      </c>
      <c r="I109" s="13" t="n">
        <v>7</v>
      </c>
    </row>
    <row r="110" customFormat="false" ht="15" hidden="false" customHeight="false" outlineLevel="0" collapsed="false">
      <c r="A110" s="7" t="n">
        <v>43374</v>
      </c>
      <c r="B110" s="8" t="n">
        <v>2018</v>
      </c>
      <c r="C110" s="8" t="n">
        <v>10</v>
      </c>
      <c r="D110" s="9" t="n">
        <v>3.06</v>
      </c>
      <c r="E110" s="10" t="n">
        <v>4.14</v>
      </c>
      <c r="F110" s="9" t="n">
        <v>5.5</v>
      </c>
      <c r="G110" s="9" t="n">
        <v>50.05</v>
      </c>
      <c r="H110" s="9" t="n">
        <v>4.82</v>
      </c>
      <c r="I110" s="9" t="n">
        <v>7</v>
      </c>
    </row>
    <row r="111" customFormat="false" ht="15" hidden="false" customHeight="false" outlineLevel="0" collapsed="false">
      <c r="A111" s="11" t="n">
        <v>43405</v>
      </c>
      <c r="B111" s="12" t="n">
        <v>2018</v>
      </c>
      <c r="C111" s="12" t="n">
        <v>11</v>
      </c>
      <c r="D111" s="13" t="n">
        <v>1.55</v>
      </c>
      <c r="E111" s="10" t="n">
        <v>3.8</v>
      </c>
      <c r="F111" s="13" t="n">
        <v>5.5</v>
      </c>
      <c r="G111" s="13" t="n">
        <v>50.3</v>
      </c>
      <c r="H111" s="13" t="n">
        <v>4.9</v>
      </c>
      <c r="I111" s="13" t="n">
        <v>7</v>
      </c>
    </row>
    <row r="112" customFormat="false" ht="15" hidden="false" customHeight="false" outlineLevel="0" collapsed="false">
      <c r="A112" s="7" t="n">
        <v>43435</v>
      </c>
      <c r="B112" s="8" t="n">
        <v>2018</v>
      </c>
      <c r="C112" s="8" t="n">
        <v>12</v>
      </c>
      <c r="D112" s="9" t="n">
        <v>1.17</v>
      </c>
      <c r="E112" s="10" t="n">
        <v>3.54</v>
      </c>
      <c r="F112" s="9" t="n">
        <v>5.5</v>
      </c>
      <c r="G112" s="9" t="n">
        <v>50.3</v>
      </c>
      <c r="H112" s="9" t="n">
        <v>4.36</v>
      </c>
      <c r="I112" s="9" t="n">
        <v>7</v>
      </c>
    </row>
    <row r="113" customFormat="false" ht="15" hidden="false" customHeight="false" outlineLevel="0" collapsed="false">
      <c r="A113" s="11" t="n">
        <v>43466</v>
      </c>
      <c r="B113" s="12" t="n">
        <v>2019</v>
      </c>
      <c r="C113" s="12" t="n">
        <v>1</v>
      </c>
      <c r="D113" s="13" t="n">
        <v>1.2</v>
      </c>
      <c r="E113" s="10" t="n">
        <v>2.99</v>
      </c>
      <c r="F113" s="13" t="n">
        <v>5.5</v>
      </c>
      <c r="G113" s="13" t="n">
        <v>50.3</v>
      </c>
      <c r="H113" s="13" t="n">
        <v>4.14</v>
      </c>
      <c r="I113" s="13" t="n">
        <v>5.5</v>
      </c>
    </row>
    <row r="114" customFormat="false" ht="15" hidden="false" customHeight="false" outlineLevel="0" collapsed="false">
      <c r="A114" s="7" t="n">
        <v>43497</v>
      </c>
      <c r="B114" s="8" t="n">
        <v>2019</v>
      </c>
      <c r="C114" s="8" t="n">
        <v>2</v>
      </c>
      <c r="D114" s="9" t="n">
        <v>1.1</v>
      </c>
      <c r="E114" s="10" t="n">
        <v>2.59</v>
      </c>
      <c r="F114" s="9" t="n">
        <v>5.5</v>
      </c>
      <c r="G114" s="9" t="n">
        <v>50.4</v>
      </c>
      <c r="H114" s="9" t="n">
        <v>3.92</v>
      </c>
      <c r="I114" s="9" t="n">
        <v>5</v>
      </c>
    </row>
    <row r="115" customFormat="false" ht="15" hidden="false" customHeight="false" outlineLevel="0" collapsed="false">
      <c r="A115" s="11" t="n">
        <v>43525</v>
      </c>
      <c r="B115" s="12" t="n">
        <v>2019</v>
      </c>
      <c r="C115" s="12" t="n">
        <v>3</v>
      </c>
      <c r="D115" s="13" t="n">
        <v>1.4</v>
      </c>
      <c r="E115" s="10" t="n">
        <v>2.52</v>
      </c>
      <c r="F115" s="13" t="n">
        <v>5.5</v>
      </c>
      <c r="G115" s="13" t="n">
        <v>50.65</v>
      </c>
      <c r="H115" s="13" t="n">
        <v>3.68</v>
      </c>
      <c r="I115" s="13" t="n">
        <v>4.5</v>
      </c>
    </row>
    <row r="116" customFormat="false" ht="15" hidden="false" customHeight="false" outlineLevel="0" collapsed="false">
      <c r="A116" s="7" t="n">
        <v>43556</v>
      </c>
      <c r="B116" s="8" t="n">
        <v>2019</v>
      </c>
      <c r="C116" s="8" t="n">
        <v>4</v>
      </c>
      <c r="D116" s="9" t="n">
        <v>1.46</v>
      </c>
      <c r="E116" s="10" t="n">
        <v>2.38</v>
      </c>
      <c r="F116" s="9" t="n">
        <v>5.5</v>
      </c>
      <c r="G116" s="9" t="n">
        <v>50.75</v>
      </c>
      <c r="H116" s="9" t="n">
        <v>3.57</v>
      </c>
      <c r="I116" s="9" t="n">
        <v>4.5</v>
      </c>
    </row>
    <row r="117" customFormat="false" ht="15" hidden="false" customHeight="false" outlineLevel="0" collapsed="false">
      <c r="A117" s="11" t="n">
        <v>43586</v>
      </c>
      <c r="B117" s="12" t="n">
        <v>2019</v>
      </c>
      <c r="C117" s="12" t="n">
        <v>5</v>
      </c>
      <c r="D117" s="13" t="n">
        <v>1.48</v>
      </c>
      <c r="E117" s="10" t="n">
        <v>2.14</v>
      </c>
      <c r="F117" s="13" t="n">
        <v>5.5</v>
      </c>
      <c r="G117" s="13" t="n">
        <v>50.8</v>
      </c>
      <c r="H117" s="13" t="n">
        <v>3.25</v>
      </c>
      <c r="I117" s="13" t="n">
        <v>5</v>
      </c>
    </row>
    <row r="118" customFormat="false" ht="15" hidden="false" customHeight="false" outlineLevel="0" collapsed="false">
      <c r="A118" s="7" t="n">
        <v>43617</v>
      </c>
      <c r="B118" s="8" t="n">
        <v>2019</v>
      </c>
      <c r="C118" s="8" t="n">
        <v>6</v>
      </c>
      <c r="D118" s="9" t="n">
        <v>1.18</v>
      </c>
      <c r="E118" s="10" t="n">
        <v>2.16</v>
      </c>
      <c r="F118" s="9" t="n">
        <v>5.5</v>
      </c>
      <c r="G118" s="9" t="n">
        <v>50.95</v>
      </c>
      <c r="H118" s="9" t="n">
        <v>2.83</v>
      </c>
      <c r="I118" s="9" t="n">
        <v>5</v>
      </c>
    </row>
    <row r="119" customFormat="false" ht="15" hidden="false" customHeight="false" outlineLevel="0" collapsed="false">
      <c r="A119" s="11" t="n">
        <v>43647</v>
      </c>
      <c r="B119" s="12" t="n">
        <v>2019</v>
      </c>
      <c r="C119" s="12" t="n">
        <v>7</v>
      </c>
      <c r="D119" s="13" t="n">
        <v>1.13</v>
      </c>
      <c r="E119" s="10" t="n">
        <v>2.25</v>
      </c>
      <c r="F119" s="13" t="n">
        <v>5</v>
      </c>
      <c r="G119" s="13" t="n">
        <v>51.3</v>
      </c>
      <c r="H119" s="13" t="n">
        <v>3.43</v>
      </c>
      <c r="I119" s="13" t="n">
        <v>4.5</v>
      </c>
    </row>
    <row r="120" customFormat="false" ht="15" hidden="false" customHeight="false" outlineLevel="0" collapsed="false">
      <c r="A120" s="7" t="n">
        <v>43678</v>
      </c>
      <c r="B120" s="8" t="n">
        <v>2019</v>
      </c>
      <c r="C120" s="8" t="n">
        <v>8</v>
      </c>
      <c r="D120" s="9" t="n">
        <v>1.25</v>
      </c>
      <c r="E120" s="10" t="n">
        <v>2.41</v>
      </c>
      <c r="F120" s="9" t="n">
        <v>4.5</v>
      </c>
      <c r="G120" s="9" t="n">
        <v>51.65</v>
      </c>
      <c r="H120" s="9" t="n">
        <v>4.03</v>
      </c>
      <c r="I120" s="9" t="n">
        <v>5</v>
      </c>
    </row>
    <row r="121" customFormat="false" ht="15" hidden="false" customHeight="false" outlineLevel="0" collapsed="false">
      <c r="A121" s="11" t="n">
        <v>43709</v>
      </c>
      <c r="B121" s="12" t="n">
        <v>2019</v>
      </c>
      <c r="C121" s="12" t="n">
        <v>9</v>
      </c>
      <c r="D121" s="13" t="n">
        <v>1.74</v>
      </c>
      <c r="E121" s="10" t="n">
        <v>2.43</v>
      </c>
      <c r="F121" s="13" t="n">
        <v>4.5</v>
      </c>
      <c r="G121" s="13" t="n">
        <v>52.2</v>
      </c>
      <c r="H121" s="13" t="n">
        <v>4.82</v>
      </c>
      <c r="I121" s="13" t="n">
        <v>5</v>
      </c>
    </row>
    <row r="122" customFormat="false" ht="15" hidden="false" customHeight="false" outlineLevel="0" collapsed="false">
      <c r="A122" s="7" t="n">
        <v>43739</v>
      </c>
      <c r="B122" s="8" t="n">
        <v>2019</v>
      </c>
      <c r="C122" s="8" t="n">
        <v>10</v>
      </c>
      <c r="D122" s="9" t="n">
        <v>2.01</v>
      </c>
      <c r="E122" s="10" t="n">
        <v>2.49</v>
      </c>
      <c r="F122" s="9" t="n">
        <v>4.5</v>
      </c>
      <c r="G122" s="9" t="n">
        <v>52.6</v>
      </c>
      <c r="H122" s="9" t="n">
        <v>5.09</v>
      </c>
      <c r="I122" s="9" t="n">
        <v>5</v>
      </c>
    </row>
    <row r="123" customFormat="false" ht="15" hidden="false" customHeight="false" outlineLevel="0" collapsed="false">
      <c r="A123" s="11" t="n">
        <v>43770</v>
      </c>
      <c r="B123" s="12" t="n">
        <v>2019</v>
      </c>
      <c r="C123" s="12" t="n">
        <v>11</v>
      </c>
      <c r="D123" s="13" t="n">
        <v>3.17</v>
      </c>
      <c r="E123" s="10" t="n">
        <v>2.71</v>
      </c>
      <c r="F123" s="13" t="n">
        <v>4.5</v>
      </c>
      <c r="G123" s="13" t="n">
        <v>52.85</v>
      </c>
      <c r="H123" s="13" t="n">
        <v>5.07</v>
      </c>
      <c r="I123" s="13" t="n">
        <v>5</v>
      </c>
    </row>
    <row r="124" customFormat="false" ht="15" hidden="false" customHeight="false" outlineLevel="0" collapsed="false">
      <c r="A124" s="7" t="n">
        <v>43800</v>
      </c>
      <c r="B124" s="8" t="n">
        <v>2019</v>
      </c>
      <c r="C124" s="8" t="n">
        <v>12</v>
      </c>
      <c r="D124" s="9" t="n">
        <v>3.66</v>
      </c>
      <c r="E124" s="10" t="n">
        <v>2.77</v>
      </c>
      <c r="F124" s="9" t="n">
        <v>4.5</v>
      </c>
      <c r="G124" s="9" t="n">
        <v>52.9</v>
      </c>
      <c r="H124" s="9" t="n">
        <v>5.17</v>
      </c>
      <c r="I124" s="9" t="n">
        <v>5.1</v>
      </c>
    </row>
    <row r="125" customFormat="false" ht="15" hidden="false" customHeight="false" outlineLevel="0" collapsed="false">
      <c r="A125" s="11" t="n">
        <v>43831</v>
      </c>
      <c r="B125" s="12" t="n">
        <v>2020</v>
      </c>
      <c r="C125" s="12" t="n">
        <v>1</v>
      </c>
      <c r="D125" s="13" t="n">
        <v>4.07</v>
      </c>
      <c r="E125" s="10" t="n">
        <v>2.96</v>
      </c>
      <c r="F125" s="13" t="n">
        <v>4.5</v>
      </c>
      <c r="G125" s="13" t="n">
        <v>52.95</v>
      </c>
      <c r="H125" s="13" t="n">
        <v>5.27</v>
      </c>
      <c r="I125" s="13" t="n">
        <v>5.5</v>
      </c>
    </row>
    <row r="126" customFormat="false" ht="15" hidden="false" customHeight="false" outlineLevel="0" collapsed="false">
      <c r="A126" s="7" t="n">
        <v>43862</v>
      </c>
      <c r="B126" s="8" t="n">
        <v>2020</v>
      </c>
      <c r="C126" s="8" t="n">
        <v>2</v>
      </c>
      <c r="D126" s="9" t="n">
        <v>4.12</v>
      </c>
      <c r="E126" s="10" t="n">
        <v>3.41</v>
      </c>
      <c r="F126" s="9" t="n">
        <v>4.5</v>
      </c>
      <c r="G126" s="9" t="n">
        <v>53.4</v>
      </c>
      <c r="H126" s="9" t="n">
        <v>5.95</v>
      </c>
      <c r="I126" s="9" t="n">
        <v>5</v>
      </c>
    </row>
    <row r="127" customFormat="false" ht="15" hidden="false" customHeight="false" outlineLevel="0" collapsed="false">
      <c r="A127" s="11" t="n">
        <v>43891</v>
      </c>
      <c r="B127" s="12" t="n">
        <v>2020</v>
      </c>
      <c r="C127" s="12" t="n">
        <v>3</v>
      </c>
      <c r="D127" s="13" t="n">
        <v>3.27</v>
      </c>
      <c r="E127" s="10" t="n">
        <v>3.69</v>
      </c>
      <c r="F127" s="13" t="n">
        <v>4.5</v>
      </c>
      <c r="G127" s="13" t="n">
        <v>54.5</v>
      </c>
      <c r="H127" s="13" t="n">
        <v>7.6</v>
      </c>
      <c r="I127" s="13" t="n">
        <v>-0.5</v>
      </c>
    </row>
    <row r="128" customFormat="false" ht="15" hidden="false" customHeight="false" outlineLevel="0" collapsed="false">
      <c r="A128" s="7" t="n">
        <v>43922</v>
      </c>
      <c r="B128" s="8" t="n">
        <v>2020</v>
      </c>
      <c r="C128" s="8" t="n">
        <v>4</v>
      </c>
      <c r="D128" s="9" t="n">
        <v>1.75</v>
      </c>
      <c r="E128" s="10" t="n">
        <v>3.68</v>
      </c>
      <c r="F128" s="9" t="n">
        <v>3.5</v>
      </c>
      <c r="G128" s="9" t="n">
        <v>54.85</v>
      </c>
      <c r="H128" s="9" t="n">
        <v>8.08</v>
      </c>
      <c r="I128" s="9" t="n">
        <v>-29.8</v>
      </c>
    </row>
    <row r="129" customFormat="false" ht="15" hidden="false" customHeight="false" outlineLevel="0" collapsed="false">
      <c r="A129" s="11" t="n">
        <v>43952</v>
      </c>
      <c r="B129" s="12" t="n">
        <v>2020</v>
      </c>
      <c r="C129" s="12" t="n">
        <v>5</v>
      </c>
      <c r="D129" s="13" t="n">
        <v>2.32</v>
      </c>
      <c r="E129" s="10" t="n">
        <v>3.71</v>
      </c>
      <c r="F129" s="13" t="n">
        <v>3.5</v>
      </c>
      <c r="G129" s="13" t="n">
        <v>56.3</v>
      </c>
      <c r="H129" s="13" t="n">
        <v>10.83</v>
      </c>
      <c r="I129" s="13" t="n">
        <v>-13.5</v>
      </c>
    </row>
    <row r="130" customFormat="false" ht="15" hidden="false" customHeight="false" outlineLevel="0" collapsed="false">
      <c r="A130" s="7" t="n">
        <v>43983</v>
      </c>
      <c r="B130" s="8" t="n">
        <v>2020</v>
      </c>
      <c r="C130" s="8" t="n">
        <v>6</v>
      </c>
      <c r="D130" s="9" t="n">
        <v>2.94</v>
      </c>
      <c r="E130" s="10" t="n">
        <v>3.59</v>
      </c>
      <c r="F130" s="9" t="n">
        <v>3.5</v>
      </c>
      <c r="G130" s="9" t="n">
        <v>57.85</v>
      </c>
      <c r="H130" s="9" t="n">
        <v>13.54</v>
      </c>
      <c r="I130" s="9" t="n">
        <v>-8</v>
      </c>
    </row>
    <row r="131" customFormat="false" ht="15" hidden="false" customHeight="false" outlineLevel="0" collapsed="false">
      <c r="A131" s="11" t="n">
        <v>44013</v>
      </c>
      <c r="B131" s="12" t="n">
        <v>2020</v>
      </c>
      <c r="C131" s="12" t="n">
        <v>7</v>
      </c>
      <c r="D131" s="13" t="n">
        <v>3.18</v>
      </c>
      <c r="E131" s="10" t="n">
        <v>3.32</v>
      </c>
      <c r="F131" s="13" t="n">
        <v>3.5</v>
      </c>
      <c r="G131" s="13" t="n">
        <v>58.4</v>
      </c>
      <c r="H131" s="13" t="n">
        <v>13.84</v>
      </c>
      <c r="I131" s="13" t="n">
        <v>-7</v>
      </c>
    </row>
    <row r="132" customFormat="false" ht="15" hidden="false" customHeight="false" outlineLevel="0" collapsed="false">
      <c r="A132" s="7" t="n">
        <v>44044</v>
      </c>
      <c r="B132" s="8" t="n">
        <v>2020</v>
      </c>
      <c r="C132" s="8" t="n">
        <v>8</v>
      </c>
      <c r="D132" s="9" t="n">
        <v>3.85</v>
      </c>
      <c r="E132" s="10" t="n">
        <v>3.32</v>
      </c>
      <c r="F132" s="9" t="n">
        <v>3</v>
      </c>
      <c r="G132" s="9" t="n">
        <v>58.55</v>
      </c>
      <c r="H132" s="9" t="n">
        <v>13.36</v>
      </c>
      <c r="I132" s="9" t="n">
        <v>-7.5</v>
      </c>
    </row>
    <row r="133" customFormat="false" ht="15" hidden="false" customHeight="false" outlineLevel="0" collapsed="false">
      <c r="A133" s="11" t="n">
        <v>44075</v>
      </c>
      <c r="B133" s="12" t="n">
        <v>2020</v>
      </c>
      <c r="C133" s="12" t="n">
        <v>9</v>
      </c>
      <c r="D133" s="13" t="n">
        <v>4.39</v>
      </c>
      <c r="E133" s="10" t="n">
        <v>3.37</v>
      </c>
      <c r="F133" s="13" t="n">
        <v>3</v>
      </c>
      <c r="G133" s="13" t="n">
        <v>58.3</v>
      </c>
      <c r="H133" s="13" t="n">
        <v>11.69</v>
      </c>
      <c r="I133" s="13" t="n">
        <v>-5.5</v>
      </c>
    </row>
    <row r="134" customFormat="false" ht="15" hidden="false" customHeight="false" outlineLevel="0" collapsed="false">
      <c r="A134" s="7" t="n">
        <v>44105</v>
      </c>
      <c r="B134" s="8" t="n">
        <v>2020</v>
      </c>
      <c r="C134" s="8" t="n">
        <v>10</v>
      </c>
      <c r="D134" s="9" t="n">
        <v>4.77</v>
      </c>
      <c r="E134" s="10" t="n">
        <v>3.46</v>
      </c>
      <c r="F134" s="9" t="n">
        <v>3</v>
      </c>
      <c r="G134" s="9" t="n">
        <v>58.2</v>
      </c>
      <c r="H134" s="9" t="n">
        <v>10.65</v>
      </c>
      <c r="I134" s="9" t="n">
        <v>-3</v>
      </c>
    </row>
    <row r="135" customFormat="false" ht="15" hidden="false" customHeight="false" outlineLevel="0" collapsed="false">
      <c r="A135" s="11" t="n">
        <v>44136</v>
      </c>
      <c r="B135" s="12" t="n">
        <v>2020</v>
      </c>
      <c r="C135" s="12" t="n">
        <v>11</v>
      </c>
      <c r="D135" s="13" t="n">
        <v>5.4</v>
      </c>
      <c r="E135" s="10" t="n">
        <v>3.92</v>
      </c>
      <c r="F135" s="13" t="n">
        <v>3</v>
      </c>
      <c r="G135" s="13" t="n">
        <v>58.2</v>
      </c>
      <c r="H135" s="13" t="n">
        <v>10.12</v>
      </c>
      <c r="I135" s="13" t="n">
        <v>-1.5</v>
      </c>
    </row>
    <row r="136" customFormat="false" ht="15" hidden="false" customHeight="false" outlineLevel="0" collapsed="false">
      <c r="A136" s="7" t="n">
        <v>44166</v>
      </c>
      <c r="B136" s="8" t="n">
        <v>2020</v>
      </c>
      <c r="C136" s="8" t="n">
        <v>12</v>
      </c>
      <c r="D136" s="9" t="n">
        <v>5.55</v>
      </c>
      <c r="E136" s="10" t="n">
        <v>4.33</v>
      </c>
      <c r="F136" s="9" t="n">
        <v>3</v>
      </c>
      <c r="G136" s="9" t="n">
        <v>58.2</v>
      </c>
      <c r="H136" s="9" t="n">
        <v>10.02</v>
      </c>
      <c r="I136" s="9" t="n">
        <v>-6.7</v>
      </c>
    </row>
    <row r="137" customFormat="false" ht="15" hidden="false" customHeight="false" outlineLevel="0" collapsed="false">
      <c r="A137" s="11" t="n">
        <v>44197</v>
      </c>
      <c r="B137" s="12" t="n">
        <v>2021</v>
      </c>
      <c r="C137" s="12" t="n">
        <v>1</v>
      </c>
      <c r="D137" s="13" t="n">
        <v>6.1</v>
      </c>
      <c r="E137" s="10" t="n">
        <v>4.62</v>
      </c>
      <c r="F137" s="13" t="n">
        <v>3</v>
      </c>
      <c r="G137" s="13" t="n">
        <v>58.1</v>
      </c>
      <c r="H137" s="13" t="n">
        <v>9.73</v>
      </c>
      <c r="I137" s="13" t="n">
        <v>-1.5</v>
      </c>
    </row>
    <row r="138" customFormat="false" ht="15" hidden="false" customHeight="false" outlineLevel="0" collapsed="false">
      <c r="A138" s="7" t="n">
        <v>44228</v>
      </c>
      <c r="B138" s="8" t="n">
        <v>2021</v>
      </c>
      <c r="C138" s="8" t="n">
        <v>2</v>
      </c>
      <c r="D138" s="9" t="n">
        <v>6.36</v>
      </c>
      <c r="E138" s="10" t="n">
        <v>5.03</v>
      </c>
      <c r="F138" s="9" t="n">
        <v>3</v>
      </c>
      <c r="G138" s="9" t="n">
        <v>58.1</v>
      </c>
      <c r="H138" s="9" t="n">
        <v>8.8</v>
      </c>
      <c r="I138" s="9" t="n">
        <v>1</v>
      </c>
    </row>
    <row r="139" customFormat="false" ht="15" hidden="false" customHeight="false" outlineLevel="0" collapsed="false">
      <c r="A139" s="11" t="n">
        <v>44256</v>
      </c>
      <c r="B139" s="12" t="n">
        <v>2021</v>
      </c>
      <c r="C139" s="12" t="n">
        <v>3</v>
      </c>
      <c r="D139" s="13" t="n">
        <v>7.02</v>
      </c>
      <c r="E139" s="10" t="n">
        <v>5.09</v>
      </c>
      <c r="F139" s="13" t="n">
        <v>3</v>
      </c>
      <c r="G139" s="13" t="n">
        <v>57.65</v>
      </c>
      <c r="H139" s="13" t="n">
        <v>5.78</v>
      </c>
      <c r="I139" s="13" t="n">
        <v>7.5</v>
      </c>
    </row>
    <row r="140" customFormat="false" ht="15" hidden="false" customHeight="false" outlineLevel="0" collapsed="false">
      <c r="A140" s="7" t="n">
        <v>44287</v>
      </c>
      <c r="B140" s="8" t="n">
        <v>2021</v>
      </c>
      <c r="C140" s="8" t="n">
        <v>4</v>
      </c>
      <c r="D140" s="9" t="n">
        <v>9.3</v>
      </c>
      <c r="E140" s="10" t="n">
        <v>5.42</v>
      </c>
      <c r="F140" s="9" t="n">
        <v>3</v>
      </c>
      <c r="G140" s="9" t="n">
        <v>57.1</v>
      </c>
      <c r="H140" s="9" t="n">
        <v>4.1</v>
      </c>
      <c r="I140" s="9" t="n">
        <v>47.1</v>
      </c>
    </row>
    <row r="141" customFormat="false" ht="15" hidden="false" customHeight="false" outlineLevel="0" collapsed="false">
      <c r="A141" s="11" t="n">
        <v>44317</v>
      </c>
      <c r="B141" s="12" t="n">
        <v>2021</v>
      </c>
      <c r="C141" s="12" t="n">
        <v>5</v>
      </c>
      <c r="D141" s="13" t="n">
        <v>9.32</v>
      </c>
      <c r="E141" s="10" t="n">
        <v>5.95</v>
      </c>
      <c r="F141" s="13" t="n">
        <v>3</v>
      </c>
      <c r="G141" s="13" t="n">
        <v>57.05</v>
      </c>
      <c r="H141" s="13" t="n">
        <v>1.33</v>
      </c>
      <c r="I141" s="13" t="n">
        <v>23</v>
      </c>
    </row>
    <row r="142" customFormat="false" ht="15" hidden="false" customHeight="false" outlineLevel="0" collapsed="false">
      <c r="A142" s="7" t="n">
        <v>44348</v>
      </c>
      <c r="B142" s="8" t="n">
        <v>2021</v>
      </c>
      <c r="C142" s="8" t="n">
        <v>6</v>
      </c>
      <c r="D142" s="9" t="n">
        <v>8.68</v>
      </c>
      <c r="E142" s="10" t="n">
        <v>6.3</v>
      </c>
      <c r="F142" s="9" t="n">
        <v>3</v>
      </c>
      <c r="G142" s="9" t="n">
        <v>57.05</v>
      </c>
      <c r="H142" s="9" t="n">
        <v>-1.38</v>
      </c>
      <c r="I142" s="9" t="n">
        <v>13</v>
      </c>
    </row>
    <row r="143" customFormat="false" ht="15" hidden="false" customHeight="false" outlineLevel="0" collapsed="false">
      <c r="A143" s="11" t="n">
        <v>44378</v>
      </c>
      <c r="B143" s="12" t="n">
        <v>2021</v>
      </c>
      <c r="C143" s="12" t="n">
        <v>7</v>
      </c>
      <c r="D143" s="13" t="n">
        <v>7.93</v>
      </c>
      <c r="E143" s="10" t="n">
        <v>6.68</v>
      </c>
      <c r="F143" s="13" t="n">
        <v>3</v>
      </c>
      <c r="G143" s="13" t="n">
        <v>57</v>
      </c>
      <c r="H143" s="13" t="n">
        <v>-2.4</v>
      </c>
      <c r="I143" s="13" t="n">
        <v>12.5</v>
      </c>
    </row>
    <row r="144" customFormat="false" ht="15" hidden="false" customHeight="false" outlineLevel="0" collapsed="false">
      <c r="A144" s="7" t="n">
        <v>44409</v>
      </c>
      <c r="B144" s="8" t="n">
        <v>2021</v>
      </c>
      <c r="C144" s="8" t="n">
        <v>8</v>
      </c>
      <c r="D144" s="9" t="n">
        <v>7.73</v>
      </c>
      <c r="E144" s="10" t="n">
        <v>6.76</v>
      </c>
      <c r="F144" s="9" t="n">
        <v>3</v>
      </c>
      <c r="G144" s="9" t="n">
        <v>56.95</v>
      </c>
      <c r="H144" s="9" t="n">
        <v>-2.73</v>
      </c>
      <c r="I144" s="9" t="n">
        <v>12</v>
      </c>
    </row>
    <row r="145" customFormat="false" ht="15" hidden="false" customHeight="false" outlineLevel="0" collapsed="false">
      <c r="A145" s="11" t="n">
        <v>44440</v>
      </c>
      <c r="B145" s="12" t="n">
        <v>2021</v>
      </c>
      <c r="C145" s="12" t="n">
        <v>9</v>
      </c>
      <c r="D145" s="13" t="n">
        <v>7.72</v>
      </c>
      <c r="E145" s="10" t="n">
        <v>6.71</v>
      </c>
      <c r="F145" s="13" t="n">
        <v>3</v>
      </c>
      <c r="G145" s="13" t="n">
        <v>56.85</v>
      </c>
      <c r="H145" s="13" t="n">
        <v>-2.49</v>
      </c>
      <c r="I145" s="13" t="n">
        <v>8.5</v>
      </c>
    </row>
    <row r="146" customFormat="false" ht="15" hidden="false" customHeight="false" outlineLevel="0" collapsed="false">
      <c r="A146" s="7" t="n">
        <v>44470</v>
      </c>
      <c r="B146" s="8" t="n">
        <v>2021</v>
      </c>
      <c r="C146" s="8" t="n">
        <v>10</v>
      </c>
      <c r="D146" s="9" t="n">
        <v>7.72</v>
      </c>
      <c r="E146" s="10" t="n">
        <v>6.73</v>
      </c>
      <c r="F146" s="9" t="n">
        <v>3</v>
      </c>
      <c r="G146" s="9" t="n">
        <v>56.75</v>
      </c>
      <c r="H146" s="9" t="n">
        <v>-2.49</v>
      </c>
      <c r="I146" s="9" t="n">
        <v>6.5</v>
      </c>
    </row>
    <row r="147" customFormat="false" ht="15" hidden="false" customHeight="false" outlineLevel="0" collapsed="false">
      <c r="A147" s="11" t="n">
        <v>44501</v>
      </c>
      <c r="B147" s="12" t="n">
        <v>2021</v>
      </c>
      <c r="C147" s="12" t="n">
        <v>11</v>
      </c>
      <c r="D147" s="13" t="n">
        <v>8.23</v>
      </c>
      <c r="E147" s="10" t="n">
        <v>6.66</v>
      </c>
      <c r="F147" s="13" t="n">
        <v>3.5</v>
      </c>
      <c r="G147" s="13" t="n">
        <v>56.85</v>
      </c>
      <c r="H147" s="13" t="n">
        <v>-2.32</v>
      </c>
      <c r="I147" s="13" t="n">
        <v>4.5</v>
      </c>
    </row>
    <row r="148" customFormat="false" ht="15" hidden="false" customHeight="false" outlineLevel="0" collapsed="false">
      <c r="A148" s="7" t="n">
        <v>44531</v>
      </c>
      <c r="B148" s="8" t="n">
        <v>2021</v>
      </c>
      <c r="C148" s="8" t="n">
        <v>12</v>
      </c>
      <c r="D148" s="9" t="n">
        <v>8.5</v>
      </c>
      <c r="E148" s="10" t="n">
        <v>6.54</v>
      </c>
      <c r="F148" s="9" t="n">
        <v>4.5</v>
      </c>
      <c r="G148" s="9" t="n">
        <v>57.3</v>
      </c>
      <c r="H148" s="9" t="n">
        <v>-1.55</v>
      </c>
      <c r="I148" s="9" t="n">
        <v>12.3</v>
      </c>
    </row>
    <row r="149" customFormat="false" ht="15" hidden="false" customHeight="false" outlineLevel="0" collapsed="false">
      <c r="A149" s="11" t="n">
        <v>44562</v>
      </c>
      <c r="B149" s="12" t="n">
        <v>2022</v>
      </c>
      <c r="C149" s="12" t="n">
        <v>1</v>
      </c>
      <c r="D149" s="13" t="n">
        <v>8.73</v>
      </c>
      <c r="E149" s="10" t="n">
        <v>6.63</v>
      </c>
      <c r="F149" s="13" t="n">
        <v>5</v>
      </c>
      <c r="G149" s="13" t="n">
        <v>57.25</v>
      </c>
      <c r="H149" s="13" t="n">
        <v>-1.46</v>
      </c>
      <c r="I149" s="13" t="n">
        <v>6.5</v>
      </c>
    </row>
    <row r="150" customFormat="false" ht="15" hidden="false" customHeight="false" outlineLevel="0" collapsed="false">
      <c r="A150" s="7" t="n">
        <v>44593</v>
      </c>
      <c r="B150" s="8" t="n">
        <v>2022</v>
      </c>
      <c r="C150" s="8" t="n">
        <v>2</v>
      </c>
      <c r="D150" s="9" t="n">
        <v>9.05</v>
      </c>
      <c r="E150" s="10" t="n">
        <v>6.78</v>
      </c>
      <c r="F150" s="9" t="n">
        <v>5.5</v>
      </c>
      <c r="G150" s="9" t="n">
        <v>57.2</v>
      </c>
      <c r="H150" s="9" t="n">
        <v>-1.55</v>
      </c>
      <c r="I150" s="9" t="n">
        <v>7.5</v>
      </c>
    </row>
    <row r="151" customFormat="false" ht="15" hidden="false" customHeight="false" outlineLevel="0" collapsed="false">
      <c r="A151" s="11" t="n">
        <v>44621</v>
      </c>
      <c r="B151" s="12" t="n">
        <v>2022</v>
      </c>
      <c r="C151" s="12" t="n">
        <v>3</v>
      </c>
      <c r="D151" s="13" t="n">
        <v>9.05</v>
      </c>
      <c r="E151" s="10" t="n">
        <v>6.94</v>
      </c>
      <c r="F151" s="13" t="n">
        <v>6</v>
      </c>
      <c r="G151" s="13" t="n">
        <v>55.2</v>
      </c>
      <c r="H151" s="13" t="n">
        <v>-4.25</v>
      </c>
      <c r="I151" s="13" t="n">
        <v>7</v>
      </c>
    </row>
    <row r="152" customFormat="false" ht="15" hidden="false" customHeight="false" outlineLevel="0" collapsed="false">
      <c r="A152" s="7" t="n">
        <v>44652</v>
      </c>
      <c r="B152" s="8" t="n">
        <v>2022</v>
      </c>
      <c r="C152" s="8" t="n">
        <v>4</v>
      </c>
      <c r="D152" s="9" t="n">
        <v>9.64</v>
      </c>
      <c r="E152" s="10" t="n">
        <v>7.2</v>
      </c>
      <c r="F152" s="9" t="n">
        <v>6.5</v>
      </c>
      <c r="G152" s="9" t="n">
        <v>54.95</v>
      </c>
      <c r="H152" s="9" t="n">
        <v>-3.77</v>
      </c>
      <c r="I152" s="9" t="n">
        <v>5.5</v>
      </c>
    </row>
    <row r="153" customFormat="false" ht="15" hidden="false" customHeight="false" outlineLevel="0" collapsed="false">
      <c r="A153" s="11" t="n">
        <v>44682</v>
      </c>
      <c r="B153" s="12" t="n">
        <v>2022</v>
      </c>
      <c r="C153" s="12" t="n">
        <v>5</v>
      </c>
      <c r="D153" s="13" t="n">
        <v>9.47</v>
      </c>
      <c r="E153" s="10" t="n">
        <v>7.25</v>
      </c>
      <c r="F153" s="13" t="n">
        <v>7</v>
      </c>
      <c r="G153" s="13" t="n">
        <v>54.65</v>
      </c>
      <c r="H153" s="13" t="n">
        <v>-4.21</v>
      </c>
      <c r="I153" s="13" t="n">
        <v>4.5</v>
      </c>
    </row>
    <row r="154" customFormat="false" ht="15" hidden="false" customHeight="false" outlineLevel="0" collapsed="false">
      <c r="A154" s="7" t="n">
        <v>44713</v>
      </c>
      <c r="B154" s="8" t="n">
        <v>2022</v>
      </c>
      <c r="C154" s="8" t="n">
        <v>6</v>
      </c>
      <c r="D154" s="9" t="n">
        <v>9.32</v>
      </c>
      <c r="E154" s="10" t="n">
        <v>7.25</v>
      </c>
      <c r="F154" s="9" t="n">
        <v>7.75</v>
      </c>
      <c r="G154" s="9" t="n">
        <v>54.85</v>
      </c>
      <c r="H154" s="9" t="n">
        <v>-3.86</v>
      </c>
      <c r="I154" s="9" t="n">
        <v>4</v>
      </c>
    </row>
    <row r="155" customFormat="false" ht="15" hidden="false" customHeight="false" outlineLevel="0" collapsed="false">
      <c r="A155" s="11" t="n">
        <v>44743</v>
      </c>
      <c r="B155" s="12" t="n">
        <v>2022</v>
      </c>
      <c r="C155" s="12" t="n">
        <v>7</v>
      </c>
      <c r="D155" s="13" t="n">
        <v>8.8</v>
      </c>
      <c r="E155" s="10" t="n">
        <v>7.39</v>
      </c>
      <c r="F155" s="13" t="n">
        <v>8</v>
      </c>
      <c r="G155" s="13" t="n">
        <v>54.4</v>
      </c>
      <c r="H155" s="13" t="n">
        <v>-4.56</v>
      </c>
      <c r="I155" s="13" t="n">
        <v>4</v>
      </c>
    </row>
    <row r="156" customFormat="false" ht="15" hidden="false" customHeight="false" outlineLevel="0" collapsed="false">
      <c r="A156" s="7" t="n">
        <v>44774</v>
      </c>
      <c r="B156" s="8" t="n">
        <v>2022</v>
      </c>
      <c r="C156" s="8" t="n">
        <v>8</v>
      </c>
      <c r="D156" s="9" t="n">
        <v>8.8</v>
      </c>
      <c r="E156" s="10" t="n">
        <v>7.46</v>
      </c>
      <c r="F156" s="9" t="n">
        <v>8.5</v>
      </c>
      <c r="G156" s="9" t="n">
        <v>53.95</v>
      </c>
      <c r="H156" s="9" t="n">
        <v>-5.27</v>
      </c>
      <c r="I156" s="9" t="n">
        <v>4.5</v>
      </c>
    </row>
    <row r="157" customFormat="false" ht="15" hidden="false" customHeight="false" outlineLevel="0" collapsed="false">
      <c r="A157" s="11" t="n">
        <v>44805</v>
      </c>
      <c r="B157" s="12" t="n">
        <v>2022</v>
      </c>
      <c r="C157" s="12" t="n">
        <v>9</v>
      </c>
      <c r="D157" s="13" t="n">
        <v>8.62</v>
      </c>
      <c r="E157" s="10" t="n">
        <v>7.41</v>
      </c>
      <c r="F157" s="13" t="n">
        <v>8.5</v>
      </c>
      <c r="G157" s="13" t="n">
        <v>53.5</v>
      </c>
      <c r="H157" s="13" t="n">
        <v>-5.89</v>
      </c>
      <c r="I157" s="13" t="n">
        <v>5</v>
      </c>
    </row>
    <row r="158" customFormat="false" ht="15" hidden="false" customHeight="false" outlineLevel="0" collapsed="false">
      <c r="A158" s="7" t="n">
        <v>44835</v>
      </c>
      <c r="B158" s="8" t="n">
        <v>2022</v>
      </c>
      <c r="C158" s="8" t="n">
        <v>10</v>
      </c>
      <c r="D158" s="9" t="n">
        <v>8.24</v>
      </c>
      <c r="E158" s="10" t="n">
        <v>7.43</v>
      </c>
      <c r="F158" s="9" t="n">
        <v>8.5</v>
      </c>
      <c r="G158" s="9" t="n">
        <v>54.55</v>
      </c>
      <c r="H158" s="9" t="n">
        <v>-3.88</v>
      </c>
      <c r="I158" s="9" t="n">
        <v>5</v>
      </c>
    </row>
    <row r="159" customFormat="false" ht="15" hidden="false" customHeight="false" outlineLevel="0" collapsed="false">
      <c r="A159" s="11" t="n">
        <v>44866</v>
      </c>
      <c r="B159" s="12" t="n">
        <v>2022</v>
      </c>
      <c r="C159" s="12" t="n">
        <v>11</v>
      </c>
      <c r="D159" s="13" t="n">
        <v>7.55</v>
      </c>
      <c r="E159" s="10" t="n">
        <v>7.38</v>
      </c>
      <c r="F159" s="13" t="n">
        <v>8.5</v>
      </c>
      <c r="G159" s="13" t="n">
        <v>55</v>
      </c>
      <c r="H159" s="13" t="n">
        <v>-3.25</v>
      </c>
      <c r="I159" s="13" t="n">
        <v>5.5</v>
      </c>
    </row>
    <row r="160" customFormat="false" ht="15" hidden="false" customHeight="false" outlineLevel="0" collapsed="false">
      <c r="A160" s="7" t="n">
        <v>44896</v>
      </c>
      <c r="B160" s="8" t="n">
        <v>2022</v>
      </c>
      <c r="C160" s="8" t="n">
        <v>12</v>
      </c>
      <c r="D160" s="9" t="n">
        <v>7.83</v>
      </c>
      <c r="E160" s="10" t="n">
        <v>6.89</v>
      </c>
      <c r="F160" s="9" t="n">
        <v>8.5</v>
      </c>
      <c r="G160" s="9" t="n">
        <v>56.35</v>
      </c>
      <c r="H160" s="9" t="n">
        <v>-1.66</v>
      </c>
      <c r="I160" s="9" t="n">
        <v>4.9</v>
      </c>
    </row>
    <row r="161" customFormat="false" ht="15" hidden="false" customHeight="false" outlineLevel="0" collapsed="false">
      <c r="A161" s="11" t="n">
        <v>44927</v>
      </c>
      <c r="B161" s="12" t="n">
        <v>2023</v>
      </c>
      <c r="C161" s="12" t="n">
        <v>1</v>
      </c>
      <c r="D161" s="13" t="n">
        <v>7.55</v>
      </c>
      <c r="E161" s="10" t="n">
        <v>6.6</v>
      </c>
      <c r="F161" s="13" t="n">
        <v>8.5</v>
      </c>
      <c r="G161" s="13" t="n">
        <v>56.85</v>
      </c>
      <c r="H161" s="13" t="n">
        <v>-0.7</v>
      </c>
      <c r="I161" s="13" t="n">
        <v>1.5</v>
      </c>
    </row>
    <row r="162" customFormat="false" ht="15" hidden="false" customHeight="false" outlineLevel="0" collapsed="false">
      <c r="A162" s="7" t="n">
        <v>44958</v>
      </c>
      <c r="B162" s="8" t="n">
        <v>2023</v>
      </c>
      <c r="C162" s="8" t="n">
        <v>2</v>
      </c>
      <c r="D162" s="9" t="n">
        <v>6.13</v>
      </c>
      <c r="E162" s="10" t="n">
        <v>6.52</v>
      </c>
      <c r="F162" s="9" t="n">
        <v>8.5</v>
      </c>
      <c r="G162" s="9" t="n">
        <v>56.7</v>
      </c>
      <c r="H162" s="9" t="n">
        <v>-0.87</v>
      </c>
      <c r="I162" s="9" t="n">
        <v>0.5</v>
      </c>
    </row>
    <row r="163" customFormat="false" ht="15" hidden="false" customHeight="false" outlineLevel="0" collapsed="false">
      <c r="A163" s="11" t="n">
        <v>44986</v>
      </c>
      <c r="B163" s="12" t="n">
        <v>2023</v>
      </c>
      <c r="C163" s="12" t="n">
        <v>3</v>
      </c>
      <c r="D163" s="13" t="n">
        <v>5.82</v>
      </c>
      <c r="E163" s="10" t="n">
        <v>6.13</v>
      </c>
      <c r="F163" s="13" t="n">
        <v>8.5</v>
      </c>
      <c r="G163" s="13" t="n">
        <v>54.65</v>
      </c>
      <c r="H163" s="13" t="n">
        <v>-1</v>
      </c>
      <c r="I163" s="13" t="n">
        <v>1</v>
      </c>
    </row>
    <row r="164" customFormat="false" ht="15" hidden="false" customHeight="false" outlineLevel="0" collapsed="false">
      <c r="A164" s="7" t="n">
        <v>45017</v>
      </c>
      <c r="B164" s="8" t="n">
        <v>2023</v>
      </c>
      <c r="C164" s="8" t="n">
        <v>4</v>
      </c>
      <c r="D164" s="9" t="n">
        <v>5.15</v>
      </c>
      <c r="E164" s="10" t="n">
        <v>5.67</v>
      </c>
      <c r="F164" s="9" t="n">
        <v>8.5</v>
      </c>
      <c r="G164" s="9" t="n">
        <v>54.3</v>
      </c>
      <c r="H164" s="9" t="n">
        <v>-1.18</v>
      </c>
      <c r="I164" s="9" t="n">
        <v>0</v>
      </c>
    </row>
    <row r="165" customFormat="false" ht="15" hidden="false" customHeight="false" outlineLevel="0" collapsed="false">
      <c r="A165" s="11" t="n">
        <v>45047</v>
      </c>
      <c r="B165" s="12" t="n">
        <v>2023</v>
      </c>
      <c r="C165" s="12" t="n">
        <v>5</v>
      </c>
      <c r="D165" s="13" t="n">
        <v>4.43</v>
      </c>
      <c r="E165" s="10" t="n">
        <v>5.21</v>
      </c>
      <c r="F165" s="13" t="n">
        <v>8.5</v>
      </c>
      <c r="G165" s="13" t="n">
        <v>54.55</v>
      </c>
      <c r="H165" s="13" t="n">
        <v>-0.18</v>
      </c>
      <c r="I165" s="13" t="n">
        <v>1</v>
      </c>
    </row>
    <row r="166" customFormat="false" ht="15" hidden="false" customHeight="false" outlineLevel="0" collapsed="false">
      <c r="A166" s="7" t="n">
        <v>45078</v>
      </c>
      <c r="B166" s="8" t="n">
        <v>2023</v>
      </c>
      <c r="C166" s="8" t="n">
        <v>6</v>
      </c>
      <c r="D166" s="9" t="n">
        <v>4</v>
      </c>
      <c r="E166" s="10" t="n">
        <v>4.96</v>
      </c>
      <c r="F166" s="9" t="n">
        <v>8</v>
      </c>
      <c r="G166" s="9" t="n">
        <v>54.95</v>
      </c>
      <c r="H166" s="9" t="n">
        <v>0.18</v>
      </c>
      <c r="I166" s="9" t="n">
        <v>2</v>
      </c>
    </row>
    <row r="167" customFormat="false" ht="15" hidden="false" customHeight="false" outlineLevel="0" collapsed="false">
      <c r="A167" s="11" t="n">
        <v>45108</v>
      </c>
      <c r="B167" s="12" t="n">
        <v>2023</v>
      </c>
      <c r="C167" s="12" t="n">
        <v>7</v>
      </c>
      <c r="D167" s="13" t="n">
        <v>3.95</v>
      </c>
      <c r="E167" s="10" t="n">
        <v>4.73</v>
      </c>
      <c r="F167" s="13" t="n">
        <v>7.75</v>
      </c>
      <c r="G167" s="13" t="n">
        <v>55.55</v>
      </c>
      <c r="H167" s="13" t="n">
        <v>2.11</v>
      </c>
      <c r="I167" s="13" t="n">
        <v>2.5</v>
      </c>
    </row>
    <row r="168" customFormat="false" ht="15" hidden="false" customHeight="false" outlineLevel="0" collapsed="false">
      <c r="A168" s="7" t="n">
        <v>45139</v>
      </c>
      <c r="B168" s="8" t="n">
        <v>2023</v>
      </c>
      <c r="C168" s="8" t="n">
        <v>8</v>
      </c>
      <c r="D168" s="9" t="n">
        <v>4.04</v>
      </c>
      <c r="E168" s="10" t="n">
        <v>4.47</v>
      </c>
      <c r="F168" s="9" t="n">
        <v>7.5</v>
      </c>
      <c r="G168" s="9" t="n">
        <v>56.3</v>
      </c>
      <c r="H168" s="9" t="n">
        <v>4.36</v>
      </c>
      <c r="I168" s="9" t="n">
        <v>2.5</v>
      </c>
    </row>
    <row r="169" customFormat="false" ht="15" hidden="false" customHeight="false" outlineLevel="0" collapsed="false">
      <c r="A169" s="11" t="n">
        <v>45170</v>
      </c>
      <c r="B169" s="12" t="n">
        <v>2023</v>
      </c>
      <c r="C169" s="12" t="n">
        <v>9</v>
      </c>
      <c r="D169" s="13" t="n">
        <v>3.91</v>
      </c>
      <c r="E169" s="10" t="n">
        <v>4.27</v>
      </c>
      <c r="F169" s="13" t="n">
        <v>7.25</v>
      </c>
      <c r="G169" s="13" t="n">
        <v>56.4</v>
      </c>
      <c r="H169" s="13" t="n">
        <v>5.42</v>
      </c>
      <c r="I169" s="13" t="n">
        <v>3</v>
      </c>
    </row>
    <row r="170" customFormat="false" ht="15" hidden="false" customHeight="false" outlineLevel="0" collapsed="false">
      <c r="A170" s="7" t="n">
        <v>45200</v>
      </c>
      <c r="B170" s="8" t="n">
        <v>2023</v>
      </c>
      <c r="C170" s="8" t="n">
        <v>10</v>
      </c>
      <c r="D170" s="9" t="n">
        <v>3.82</v>
      </c>
      <c r="E170" s="10" t="n">
        <v>4.15</v>
      </c>
      <c r="F170" s="9" t="n">
        <v>7</v>
      </c>
      <c r="G170" s="9" t="n">
        <v>56.55</v>
      </c>
      <c r="H170" s="9" t="n">
        <v>3.67</v>
      </c>
      <c r="I170" s="9" t="n">
        <v>3.5</v>
      </c>
    </row>
    <row r="171" customFormat="false" ht="15" hidden="false" customHeight="false" outlineLevel="0" collapsed="false">
      <c r="A171" s="11" t="n">
        <v>45231</v>
      </c>
      <c r="B171" s="12" t="n">
        <v>2023</v>
      </c>
      <c r="C171" s="12" t="n">
        <v>11</v>
      </c>
      <c r="D171" s="13" t="n">
        <v>3.45</v>
      </c>
      <c r="E171" s="10" t="n">
        <v>4.16</v>
      </c>
      <c r="F171" s="13" t="n">
        <v>7</v>
      </c>
      <c r="G171" s="13" t="n">
        <v>56.8</v>
      </c>
      <c r="H171" s="13" t="n">
        <v>3.27</v>
      </c>
      <c r="I171" s="13" t="n">
        <v>4</v>
      </c>
    </row>
    <row r="172" customFormat="false" ht="15" hidden="false" customHeight="false" outlineLevel="0" collapsed="false">
      <c r="A172" s="7" t="n">
        <v>45261</v>
      </c>
      <c r="B172" s="8" t="n">
        <v>2023</v>
      </c>
      <c r="C172" s="8" t="n">
        <v>12</v>
      </c>
      <c r="D172" s="9" t="n">
        <v>3.57</v>
      </c>
      <c r="E172" s="10" t="n">
        <v>3.94</v>
      </c>
      <c r="F172" s="9" t="n">
        <v>7</v>
      </c>
      <c r="G172" s="9" t="n">
        <v>57.4</v>
      </c>
      <c r="H172" s="9" t="n">
        <v>1.86</v>
      </c>
      <c r="I172" s="9" t="n">
        <v>2.4</v>
      </c>
    </row>
    <row r="173" customFormat="false" ht="15" hidden="false" customHeight="false" outlineLevel="0" collapsed="false">
      <c r="A173" s="11" t="n">
        <v>45292</v>
      </c>
      <c r="B173" s="12" t="n">
        <v>2024</v>
      </c>
      <c r="C173" s="12" t="n">
        <v>1</v>
      </c>
      <c r="D173" s="13" t="n">
        <v>3.46</v>
      </c>
      <c r="E173" s="10" t="n">
        <v>3.72</v>
      </c>
      <c r="F173" s="13" t="n">
        <v>7</v>
      </c>
      <c r="G173" s="13" t="n">
        <v>58.3</v>
      </c>
      <c r="H173" s="13" t="n">
        <v>2.55</v>
      </c>
      <c r="I173" s="13" t="n">
        <v>5</v>
      </c>
    </row>
    <row r="174" customFormat="false" ht="15" hidden="false" customHeight="false" outlineLevel="0" collapsed="false">
      <c r="A174" s="7" t="n">
        <v>45323</v>
      </c>
      <c r="B174" s="8" t="n">
        <v>2024</v>
      </c>
      <c r="C174" s="8" t="n">
        <v>2</v>
      </c>
      <c r="D174" s="9" t="n">
        <v>3.25</v>
      </c>
      <c r="E174" s="10" t="n">
        <v>3.85</v>
      </c>
      <c r="F174" s="9" t="n">
        <v>7</v>
      </c>
      <c r="G174" s="9" t="n">
        <v>58.85</v>
      </c>
      <c r="H174" s="9" t="n">
        <v>3.79</v>
      </c>
      <c r="I174" s="9" t="n">
        <v>5.5</v>
      </c>
    </row>
    <row r="175" customFormat="false" ht="15" hidden="false" customHeight="false" outlineLevel="0" collapsed="false">
      <c r="A175" s="11" t="n">
        <v>45352</v>
      </c>
      <c r="B175" s="12" t="n">
        <v>2024</v>
      </c>
      <c r="C175" s="12" t="n">
        <v>3</v>
      </c>
      <c r="D175" s="13" t="n">
        <v>3.13</v>
      </c>
      <c r="E175" s="10" t="n">
        <v>3.74</v>
      </c>
      <c r="F175" s="13" t="n">
        <v>7</v>
      </c>
      <c r="G175" s="13" t="n">
        <v>58.95</v>
      </c>
      <c r="H175" s="13" t="n">
        <v>7.87</v>
      </c>
      <c r="I175" s="13" t="n">
        <v>6</v>
      </c>
    </row>
    <row r="176" customFormat="false" ht="15" hidden="false" customHeight="false" outlineLevel="0" collapsed="false">
      <c r="A176" s="7" t="n">
        <v>45383</v>
      </c>
      <c r="B176" s="8" t="n">
        <v>2024</v>
      </c>
      <c r="C176" s="8" t="n">
        <v>4</v>
      </c>
      <c r="D176" s="9" t="n">
        <v>3.03</v>
      </c>
      <c r="E176" s="10" t="n">
        <v>3.69</v>
      </c>
      <c r="F176" s="9" t="n">
        <v>7</v>
      </c>
      <c r="G176" s="9" t="n">
        <v>59.05</v>
      </c>
      <c r="H176" s="9" t="n">
        <v>8.75</v>
      </c>
      <c r="I176" s="9" t="n">
        <v>5.5</v>
      </c>
    </row>
    <row r="177" customFormat="false" ht="15" hidden="false" customHeight="false" outlineLevel="0" collapsed="false">
      <c r="A177" s="11" t="n">
        <v>45413</v>
      </c>
      <c r="B177" s="12" t="n">
        <v>2024</v>
      </c>
      <c r="C177" s="12" t="n">
        <v>5</v>
      </c>
      <c r="D177" s="13" t="n">
        <v>3.16</v>
      </c>
      <c r="E177" s="10" t="n">
        <v>3.92</v>
      </c>
      <c r="F177" s="13" t="n">
        <v>7</v>
      </c>
      <c r="G177" s="13" t="n">
        <v>59.1</v>
      </c>
      <c r="H177" s="13" t="n">
        <v>8.34</v>
      </c>
      <c r="I177" s="13" t="n">
        <v>5.5</v>
      </c>
    </row>
    <row r="178" customFormat="false" ht="15" hidden="false" customHeight="false" outlineLevel="0" collapsed="false">
      <c r="A178" s="7" t="n">
        <v>45444</v>
      </c>
      <c r="B178" s="8" t="n">
        <v>2024</v>
      </c>
      <c r="C178" s="8" t="n">
        <v>6</v>
      </c>
      <c r="D178" s="9" t="n">
        <v>3.45</v>
      </c>
      <c r="E178" s="10" t="n">
        <v>3.7</v>
      </c>
      <c r="F178" s="9" t="n">
        <v>7</v>
      </c>
      <c r="G178" s="9" t="n">
        <v>58.8</v>
      </c>
      <c r="H178" s="9" t="n">
        <v>7.01</v>
      </c>
      <c r="I178" s="9" t="n">
        <v>5</v>
      </c>
    </row>
    <row r="179" customFormat="false" ht="15" hidden="false" customHeight="false" outlineLevel="0" collapsed="false">
      <c r="A179" s="11" t="n">
        <v>45474</v>
      </c>
      <c r="B179" s="12" t="n">
        <v>2024</v>
      </c>
      <c r="C179" s="12" t="n">
        <v>7</v>
      </c>
      <c r="D179" s="13" t="n">
        <v>3.54</v>
      </c>
      <c r="E179" s="10" t="n">
        <v>3.5</v>
      </c>
      <c r="F179" s="13" t="n">
        <v>6.75</v>
      </c>
      <c r="G179" s="13" t="n">
        <v>59.2</v>
      </c>
      <c r="H179" s="13" t="n">
        <v>6.57</v>
      </c>
      <c r="I179" s="13" t="n">
        <v>5</v>
      </c>
    </row>
    <row r="180" customFormat="false" ht="15" hidden="false" customHeight="false" outlineLevel="0" collapsed="false">
      <c r="A180" s="7" t="n">
        <v>45505</v>
      </c>
      <c r="B180" s="8" t="n">
        <v>2024</v>
      </c>
      <c r="C180" s="8" t="n">
        <v>8</v>
      </c>
      <c r="D180" s="9" t="n">
        <v>3.42</v>
      </c>
      <c r="E180" s="10" t="n">
        <v>3.59</v>
      </c>
      <c r="F180" s="9" t="n">
        <v>6.75</v>
      </c>
      <c r="G180" s="9" t="n">
        <v>59.5</v>
      </c>
      <c r="H180" s="9" t="n">
        <v>5.68</v>
      </c>
      <c r="I180" s="9" t="n">
        <v>5</v>
      </c>
    </row>
    <row r="181" customFormat="false" ht="15" hidden="false" customHeight="false" outlineLevel="0" collapsed="false">
      <c r="A181" s="11" t="n">
        <v>45536</v>
      </c>
      <c r="B181" s="12" t="n">
        <v>2024</v>
      </c>
      <c r="C181" s="12" t="n">
        <v>9</v>
      </c>
      <c r="D181" s="13" t="n">
        <v>3.29</v>
      </c>
      <c r="E181" s="10" t="n">
        <v>3.47</v>
      </c>
      <c r="F181" s="13" t="n">
        <v>6.5</v>
      </c>
      <c r="G181" s="13" t="n">
        <v>60</v>
      </c>
      <c r="H181" s="13" t="n">
        <v>6.38</v>
      </c>
      <c r="I181" s="13" t="n">
        <v>5</v>
      </c>
    </row>
    <row r="182" customFormat="false" ht="15" hidden="false" customHeight="false" outlineLevel="0" collapsed="false">
      <c r="A182" s="7" t="n">
        <v>45566</v>
      </c>
      <c r="B182" s="8" t="n">
        <v>2024</v>
      </c>
      <c r="C182" s="8" t="n">
        <v>10</v>
      </c>
      <c r="D182" s="9" t="n">
        <v>3.16</v>
      </c>
      <c r="E182" s="10" t="n">
        <v>3.65</v>
      </c>
      <c r="F182" s="9" t="n">
        <v>6.25</v>
      </c>
      <c r="G182" s="9" t="n">
        <v>60.2</v>
      </c>
      <c r="H182" s="9" t="n">
        <v>6.45</v>
      </c>
      <c r="I182" s="9" t="n">
        <v>4.5</v>
      </c>
    </row>
    <row r="183" customFormat="false" ht="15" hidden="false" customHeight="false" outlineLevel="0" collapsed="false">
      <c r="A183" s="11" t="n">
        <v>45597</v>
      </c>
      <c r="B183" s="12" t="n">
        <v>2024</v>
      </c>
      <c r="C183" s="12" t="n">
        <v>11</v>
      </c>
      <c r="D183" s="13" t="n">
        <v>3.18</v>
      </c>
      <c r="E183" s="10" t="n">
        <v>3.57</v>
      </c>
      <c r="F183" s="13" t="n">
        <v>6</v>
      </c>
      <c r="G183" s="13" t="n">
        <v>60.5</v>
      </c>
      <c r="H183" s="13" t="n">
        <v>6.51</v>
      </c>
      <c r="I183" s="13" t="n">
        <v>4.5</v>
      </c>
    </row>
    <row r="184" customFormat="false" ht="15" hidden="false" customHeight="false" outlineLevel="0" collapsed="false">
      <c r="A184" s="7" t="n">
        <v>45627</v>
      </c>
      <c r="B184" s="8" t="n">
        <v>2024</v>
      </c>
      <c r="C184" s="8" t="n">
        <v>12</v>
      </c>
      <c r="D184" s="9" t="n">
        <v>3.35</v>
      </c>
      <c r="E184" s="10" t="n">
        <v>3.36</v>
      </c>
      <c r="F184" s="9" t="n">
        <v>6</v>
      </c>
      <c r="G184" s="9" t="n">
        <v>60.8</v>
      </c>
      <c r="H184" s="9" t="n">
        <v>5.92</v>
      </c>
      <c r="I184" s="9" t="n">
        <v>5</v>
      </c>
    </row>
    <row r="187" customFormat="false" ht="15" hidden="false" customHeight="false" outlineLevel="0" collapsed="false">
      <c r="A187" s="14" t="s">
        <v>49</v>
      </c>
      <c r="B187" s="14"/>
      <c r="C187" s="14"/>
      <c r="D187" s="14"/>
      <c r="E187" s="14"/>
      <c r="F187" s="14"/>
      <c r="G187" s="14"/>
      <c r="H187" s="14"/>
      <c r="I187" s="14"/>
    </row>
  </sheetData>
  <mergeCells count="1">
    <mergeCell ref="A187:I1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10" min="9" style="0" width="8"/>
  </cols>
  <sheetData>
    <row r="1" customFormat="false" ht="15" hidden="false" customHeight="false" outlineLevel="0" collapsed="false">
      <c r="A1" s="6" t="s">
        <v>40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41</v>
      </c>
      <c r="J1" s="6" t="s">
        <v>42</v>
      </c>
    </row>
    <row r="2" customFormat="false" ht="15" hidden="false" customHeight="false" outlineLevel="0" collapsed="false">
      <c r="A2" s="7" t="n">
        <v>40087</v>
      </c>
      <c r="B2" s="9" t="n">
        <v>5.2</v>
      </c>
      <c r="C2" s="9" t="n">
        <v>4.69</v>
      </c>
      <c r="D2" s="8"/>
      <c r="E2" s="8"/>
      <c r="F2" s="8"/>
      <c r="G2" s="8"/>
      <c r="H2" s="8" t="n">
        <v>0</v>
      </c>
      <c r="I2" s="8" t="n">
        <v>2009</v>
      </c>
      <c r="J2" s="8" t="n">
        <v>10</v>
      </c>
    </row>
    <row r="3" customFormat="false" ht="15" hidden="false" customHeight="false" outlineLevel="0" collapsed="false">
      <c r="A3" s="11" t="n">
        <v>40118</v>
      </c>
      <c r="B3" s="13" t="n">
        <v>5.71</v>
      </c>
      <c r="C3" s="13" t="n">
        <v>4.68</v>
      </c>
      <c r="D3" s="12"/>
      <c r="E3" s="12"/>
      <c r="F3" s="13" t="n">
        <f aca="false">C3-C2</f>
        <v>-0.0100000000000007</v>
      </c>
      <c r="G3" s="12"/>
      <c r="H3" s="12" t="n">
        <v>0</v>
      </c>
      <c r="I3" s="12" t="n">
        <v>2009</v>
      </c>
      <c r="J3" s="12" t="n">
        <v>11</v>
      </c>
    </row>
    <row r="4" customFormat="false" ht="15" hidden="false" customHeight="false" outlineLevel="0" collapsed="false">
      <c r="A4" s="7" t="n">
        <v>40148</v>
      </c>
      <c r="B4" s="9" t="n">
        <v>5.76</v>
      </c>
      <c r="C4" s="9" t="n">
        <v>4.87</v>
      </c>
      <c r="D4" s="8"/>
      <c r="E4" s="8"/>
      <c r="F4" s="9" t="n">
        <f aca="false">C4-C3</f>
        <v>0.19</v>
      </c>
      <c r="G4" s="8"/>
      <c r="H4" s="8" t="n">
        <v>0</v>
      </c>
      <c r="I4" s="8" t="n">
        <v>2009</v>
      </c>
      <c r="J4" s="8" t="n">
        <v>12</v>
      </c>
    </row>
    <row r="5" customFormat="false" ht="15" hidden="false" customHeight="false" outlineLevel="0" collapsed="false">
      <c r="A5" s="11" t="n">
        <v>40179</v>
      </c>
      <c r="B5" s="13" t="n">
        <v>6.16</v>
      </c>
      <c r="C5" s="13" t="n">
        <v>5.09</v>
      </c>
      <c r="D5" s="12"/>
      <c r="E5" s="12"/>
      <c r="F5" s="13" t="n">
        <f aca="false">C5-C4</f>
        <v>0.22</v>
      </c>
      <c r="G5" s="12"/>
      <c r="H5" s="12" t="n">
        <v>0</v>
      </c>
      <c r="I5" s="12" t="n">
        <v>2010</v>
      </c>
      <c r="J5" s="12" t="n">
        <v>1</v>
      </c>
    </row>
    <row r="6" customFormat="false" ht="15" hidden="false" customHeight="false" outlineLevel="0" collapsed="false">
      <c r="A6" s="7" t="n">
        <v>40210</v>
      </c>
      <c r="B6" s="9" t="n">
        <v>6.2</v>
      </c>
      <c r="C6" s="9" t="n">
        <v>5.29</v>
      </c>
      <c r="D6" s="8"/>
      <c r="E6" s="8"/>
      <c r="F6" s="9" t="n">
        <f aca="false">C6-C5</f>
        <v>0.2</v>
      </c>
      <c r="G6" s="8"/>
      <c r="H6" s="8" t="n">
        <v>0</v>
      </c>
      <c r="I6" s="8" t="n">
        <v>2010</v>
      </c>
      <c r="J6" s="8" t="n">
        <v>2</v>
      </c>
    </row>
    <row r="7" customFormat="false" ht="15" hidden="false" customHeight="false" outlineLevel="0" collapsed="false">
      <c r="A7" s="11" t="n">
        <v>40238</v>
      </c>
      <c r="B7" s="13" t="n">
        <v>6.31</v>
      </c>
      <c r="C7" s="13" t="n">
        <v>5.38</v>
      </c>
      <c r="D7" s="12"/>
      <c r="E7" s="12"/>
      <c r="F7" s="13" t="n">
        <f aca="false">C7-C6</f>
        <v>0.0899999999999999</v>
      </c>
      <c r="G7" s="12"/>
      <c r="H7" s="12" t="n">
        <v>0</v>
      </c>
      <c r="I7" s="12" t="n">
        <v>2010</v>
      </c>
      <c r="J7" s="12" t="n">
        <v>3</v>
      </c>
    </row>
    <row r="8" customFormat="false" ht="15" hidden="false" customHeight="false" outlineLevel="0" collapsed="false">
      <c r="A8" s="7" t="n">
        <v>40269</v>
      </c>
      <c r="B8" s="9" t="n">
        <v>6.34</v>
      </c>
      <c r="C8" s="9" t="n">
        <v>5.24</v>
      </c>
      <c r="D8" s="8"/>
      <c r="E8" s="8"/>
      <c r="F8" s="9" t="n">
        <f aca="false">C8-C7</f>
        <v>-0.14</v>
      </c>
      <c r="G8" s="8"/>
      <c r="H8" s="8" t="n">
        <v>0</v>
      </c>
      <c r="I8" s="8" t="n">
        <v>2010</v>
      </c>
      <c r="J8" s="8" t="n">
        <v>4</v>
      </c>
    </row>
    <row r="9" customFormat="false" ht="15" hidden="false" customHeight="false" outlineLevel="0" collapsed="false">
      <c r="A9" s="11" t="n">
        <v>40299</v>
      </c>
      <c r="B9" s="13" t="n">
        <v>5.86</v>
      </c>
      <c r="C9" s="13" t="n">
        <v>5.12</v>
      </c>
      <c r="D9" s="12"/>
      <c r="E9" s="12"/>
      <c r="F9" s="13" t="n">
        <f aca="false">C9-C8</f>
        <v>-0.12</v>
      </c>
      <c r="G9" s="12"/>
      <c r="H9" s="12" t="n">
        <v>0</v>
      </c>
      <c r="I9" s="12" t="n">
        <v>2010</v>
      </c>
      <c r="J9" s="12" t="n">
        <v>5</v>
      </c>
    </row>
    <row r="10" customFormat="false" ht="15" hidden="false" customHeight="false" outlineLevel="0" collapsed="false">
      <c r="A10" s="7" t="n">
        <v>40330</v>
      </c>
      <c r="B10" s="9" t="n">
        <v>6.11</v>
      </c>
      <c r="C10" s="9" t="n">
        <v>5.29</v>
      </c>
      <c r="D10" s="8"/>
      <c r="E10" s="8"/>
      <c r="F10" s="9" t="n">
        <f aca="false">C10-C9</f>
        <v>0.17</v>
      </c>
      <c r="G10" s="8"/>
      <c r="H10" s="8" t="n">
        <v>0</v>
      </c>
      <c r="I10" s="8" t="n">
        <v>2010</v>
      </c>
      <c r="J10" s="8" t="n">
        <v>6</v>
      </c>
    </row>
    <row r="11" customFormat="false" ht="15" hidden="false" customHeight="false" outlineLevel="0" collapsed="false">
      <c r="A11" s="11" t="n">
        <v>40360</v>
      </c>
      <c r="B11" s="13" t="n">
        <v>6.45</v>
      </c>
      <c r="C11" s="13" t="n">
        <v>5.45</v>
      </c>
      <c r="D11" s="12"/>
      <c r="E11" s="12"/>
      <c r="F11" s="13" t="n">
        <f aca="false">C11-C10</f>
        <v>0.16</v>
      </c>
      <c r="G11" s="12"/>
      <c r="H11" s="12" t="n">
        <v>0</v>
      </c>
      <c r="I11" s="12" t="n">
        <v>2010</v>
      </c>
      <c r="J11" s="12" t="n">
        <v>7</v>
      </c>
    </row>
    <row r="12" customFormat="false" ht="15" hidden="false" customHeight="false" outlineLevel="0" collapsed="false">
      <c r="A12" s="7" t="n">
        <v>40391</v>
      </c>
      <c r="B12" s="9" t="n">
        <v>6.29</v>
      </c>
      <c r="C12" s="9" t="n">
        <v>5.4</v>
      </c>
      <c r="D12" s="8"/>
      <c r="E12" s="8"/>
      <c r="F12" s="9" t="n">
        <f aca="false">C12-C11</f>
        <v>-0.0499999999999998</v>
      </c>
      <c r="G12" s="8"/>
      <c r="H12" s="8" t="n">
        <v>0</v>
      </c>
      <c r="I12" s="8" t="n">
        <v>2010</v>
      </c>
      <c r="J12" s="8" t="n">
        <v>8</v>
      </c>
    </row>
    <row r="13" customFormat="false" ht="15" hidden="false" customHeight="false" outlineLevel="0" collapsed="false">
      <c r="A13" s="11" t="n">
        <v>40422</v>
      </c>
      <c r="B13" s="13" t="n">
        <v>6.14</v>
      </c>
      <c r="C13" s="13" t="n">
        <v>5.37</v>
      </c>
      <c r="D13" s="12"/>
      <c r="E13" s="12"/>
      <c r="F13" s="13" t="n">
        <f aca="false">C13-C12</f>
        <v>-0.0300000000000003</v>
      </c>
      <c r="G13" s="12"/>
      <c r="H13" s="12" t="n">
        <v>0</v>
      </c>
      <c r="I13" s="12" t="n">
        <v>2010</v>
      </c>
      <c r="J13" s="12" t="n">
        <v>9</v>
      </c>
    </row>
    <row r="14" customFormat="false" ht="15" hidden="false" customHeight="false" outlineLevel="0" collapsed="false">
      <c r="A14" s="7" t="n">
        <v>40452</v>
      </c>
      <c r="B14" s="9" t="n">
        <v>6.32</v>
      </c>
      <c r="C14" s="9" t="n">
        <v>5.17</v>
      </c>
      <c r="D14" s="9" t="n">
        <f aca="false">B14-C2</f>
        <v>1.63</v>
      </c>
      <c r="E14" s="15" t="n">
        <f aca="false">D14^2</f>
        <v>2.6569</v>
      </c>
      <c r="F14" s="9" t="n">
        <f aca="false">C14-C13</f>
        <v>-0.2</v>
      </c>
      <c r="G14" s="8"/>
      <c r="H14" s="8" t="n">
        <v>0</v>
      </c>
      <c r="I14" s="8" t="n">
        <v>2010</v>
      </c>
      <c r="J14" s="8" t="n">
        <v>10</v>
      </c>
    </row>
    <row r="15" customFormat="false" ht="15" hidden="false" customHeight="false" outlineLevel="0" collapsed="false">
      <c r="A15" s="11" t="n">
        <v>40483</v>
      </c>
      <c r="B15" s="13" t="n">
        <v>6.22</v>
      </c>
      <c r="C15" s="13" t="n">
        <v>5.34</v>
      </c>
      <c r="D15" s="13" t="n">
        <f aca="false">B15-C3</f>
        <v>1.54</v>
      </c>
      <c r="E15" s="16" t="n">
        <f aca="false">D15^2</f>
        <v>2.3716</v>
      </c>
      <c r="F15" s="13" t="n">
        <f aca="false">C15-C14</f>
        <v>0.17</v>
      </c>
      <c r="G15" s="12"/>
      <c r="H15" s="12" t="n">
        <v>0</v>
      </c>
      <c r="I15" s="12" t="n">
        <v>2010</v>
      </c>
      <c r="J15" s="12" t="n">
        <v>11</v>
      </c>
    </row>
    <row r="16" customFormat="false" ht="15" hidden="false" customHeight="false" outlineLevel="0" collapsed="false">
      <c r="A16" s="7" t="n">
        <v>40513</v>
      </c>
      <c r="B16" s="9" t="n">
        <v>6.24</v>
      </c>
      <c r="C16" s="9" t="n">
        <v>5.61</v>
      </c>
      <c r="D16" s="9" t="n">
        <f aca="false">B16-C4</f>
        <v>1.37</v>
      </c>
      <c r="E16" s="15" t="n">
        <f aca="false">D16^2</f>
        <v>1.8769</v>
      </c>
      <c r="F16" s="9" t="n">
        <f aca="false">C16-C15</f>
        <v>0.27</v>
      </c>
      <c r="G16" s="8"/>
      <c r="H16" s="8" t="n">
        <v>0</v>
      </c>
      <c r="I16" s="8" t="n">
        <v>2010</v>
      </c>
      <c r="J16" s="8" t="n">
        <v>12</v>
      </c>
    </row>
    <row r="17" customFormat="false" ht="15" hidden="false" customHeight="false" outlineLevel="0" collapsed="false">
      <c r="A17" s="11" t="n">
        <v>40544</v>
      </c>
      <c r="B17" s="13" t="n">
        <v>6.38</v>
      </c>
      <c r="C17" s="13" t="n">
        <v>5.55</v>
      </c>
      <c r="D17" s="13" t="n">
        <f aca="false">B17-C5</f>
        <v>1.29</v>
      </c>
      <c r="E17" s="16" t="n">
        <f aca="false">D17^2</f>
        <v>1.6641</v>
      </c>
      <c r="F17" s="13" t="n">
        <f aca="false">C17-C16</f>
        <v>-0.0600000000000005</v>
      </c>
      <c r="G17" s="12"/>
      <c r="H17" s="12" t="n">
        <v>0</v>
      </c>
      <c r="I17" s="12" t="n">
        <v>2011</v>
      </c>
      <c r="J17" s="12" t="n">
        <v>1</v>
      </c>
    </row>
    <row r="18" customFormat="false" ht="15" hidden="false" customHeight="false" outlineLevel="0" collapsed="false">
      <c r="A18" s="7" t="n">
        <v>40575</v>
      </c>
      <c r="B18" s="9" t="n">
        <v>6.94</v>
      </c>
      <c r="C18" s="9" t="n">
        <v>5.6</v>
      </c>
      <c r="D18" s="9" t="n">
        <f aca="false">B18-C6</f>
        <v>1.65</v>
      </c>
      <c r="E18" s="15" t="n">
        <f aca="false">D18^2</f>
        <v>2.7225</v>
      </c>
      <c r="F18" s="9" t="n">
        <f aca="false">C18-C17</f>
        <v>0.0499999999999998</v>
      </c>
      <c r="G18" s="8"/>
      <c r="H18" s="8" t="n">
        <v>0</v>
      </c>
      <c r="I18" s="8" t="n">
        <v>2011</v>
      </c>
      <c r="J18" s="8" t="n">
        <v>2</v>
      </c>
    </row>
    <row r="19" customFormat="false" ht="15" hidden="false" customHeight="false" outlineLevel="0" collapsed="false">
      <c r="A19" s="11" t="n">
        <v>40603</v>
      </c>
      <c r="B19" s="13" t="n">
        <v>7.85</v>
      </c>
      <c r="C19" s="13" t="n">
        <v>5.58</v>
      </c>
      <c r="D19" s="13" t="n">
        <f aca="false">B19-C7</f>
        <v>2.47</v>
      </c>
      <c r="E19" s="16" t="n">
        <f aca="false">D19^2</f>
        <v>6.1009</v>
      </c>
      <c r="F19" s="13" t="n">
        <f aca="false">C19-C18</f>
        <v>-0.0199999999999996</v>
      </c>
      <c r="G19" s="12"/>
      <c r="H19" s="12" t="n">
        <v>0</v>
      </c>
      <c r="I19" s="12" t="n">
        <v>2011</v>
      </c>
      <c r="J19" s="12" t="n">
        <v>3</v>
      </c>
    </row>
    <row r="20" customFormat="false" ht="15" hidden="false" customHeight="false" outlineLevel="0" collapsed="false">
      <c r="A20" s="7" t="n">
        <v>40634</v>
      </c>
      <c r="B20" s="9" t="n">
        <v>8.45</v>
      </c>
      <c r="C20" s="9" t="n">
        <v>5.92</v>
      </c>
      <c r="D20" s="9" t="n">
        <f aca="false">B20-C8</f>
        <v>3.21</v>
      </c>
      <c r="E20" s="15" t="n">
        <f aca="false">D20^2</f>
        <v>10.3041</v>
      </c>
      <c r="F20" s="9" t="n">
        <f aca="false">C20-C19</f>
        <v>0.34</v>
      </c>
      <c r="G20" s="8"/>
      <c r="H20" s="8" t="n">
        <v>0</v>
      </c>
      <c r="I20" s="8" t="n">
        <v>2011</v>
      </c>
      <c r="J20" s="8" t="n">
        <v>4</v>
      </c>
    </row>
    <row r="21" customFormat="false" ht="15" hidden="false" customHeight="false" outlineLevel="0" collapsed="false">
      <c r="A21" s="11" t="n">
        <v>40664</v>
      </c>
      <c r="B21" s="13" t="n">
        <v>9.01</v>
      </c>
      <c r="C21" s="13" t="n">
        <v>6.27</v>
      </c>
      <c r="D21" s="13" t="n">
        <f aca="false">B21-C9</f>
        <v>3.89</v>
      </c>
      <c r="E21" s="16" t="n">
        <f aca="false">D21^2</f>
        <v>15.1321</v>
      </c>
      <c r="F21" s="13" t="n">
        <f aca="false">C21-C20</f>
        <v>0.35</v>
      </c>
      <c r="G21" s="12"/>
      <c r="H21" s="12" t="n">
        <v>0</v>
      </c>
      <c r="I21" s="12" t="n">
        <v>2011</v>
      </c>
      <c r="J21" s="12" t="n">
        <v>5</v>
      </c>
    </row>
    <row r="22" customFormat="false" ht="15" hidden="false" customHeight="false" outlineLevel="0" collapsed="false">
      <c r="A22" s="7" t="n">
        <v>40695</v>
      </c>
      <c r="B22" s="9" t="n">
        <v>8.9</v>
      </c>
      <c r="C22" s="9" t="n">
        <v>6.41</v>
      </c>
      <c r="D22" s="9" t="n">
        <f aca="false">B22-C10</f>
        <v>3.61</v>
      </c>
      <c r="E22" s="15" t="n">
        <f aca="false">D22^2</f>
        <v>13.0321</v>
      </c>
      <c r="F22" s="9" t="n">
        <f aca="false">C22-C21</f>
        <v>0.140000000000001</v>
      </c>
      <c r="G22" s="8"/>
      <c r="H22" s="8" t="n">
        <v>0</v>
      </c>
      <c r="I22" s="8" t="n">
        <v>2011</v>
      </c>
      <c r="J22" s="8" t="n">
        <v>6</v>
      </c>
    </row>
    <row r="23" customFormat="false" ht="15" hidden="false" customHeight="false" outlineLevel="0" collapsed="false">
      <c r="A23" s="11" t="n">
        <v>40725</v>
      </c>
      <c r="B23" s="13" t="n">
        <v>8.08</v>
      </c>
      <c r="C23" s="13" t="n">
        <v>6.75</v>
      </c>
      <c r="D23" s="13" t="n">
        <f aca="false">B23-C11</f>
        <v>2.63</v>
      </c>
      <c r="E23" s="16" t="n">
        <f aca="false">D23^2</f>
        <v>6.9169</v>
      </c>
      <c r="F23" s="13" t="n">
        <f aca="false">C23-C22</f>
        <v>0.34</v>
      </c>
      <c r="G23" s="12"/>
      <c r="H23" s="12" t="n">
        <v>0</v>
      </c>
      <c r="I23" s="12" t="n">
        <v>2011</v>
      </c>
      <c r="J23" s="12" t="n">
        <v>7</v>
      </c>
    </row>
    <row r="24" customFormat="false" ht="15" hidden="false" customHeight="false" outlineLevel="0" collapsed="false">
      <c r="A24" s="7" t="n">
        <v>40756</v>
      </c>
      <c r="B24" s="9" t="n">
        <v>8.46</v>
      </c>
      <c r="C24" s="9" t="n">
        <v>6.62</v>
      </c>
      <c r="D24" s="9" t="n">
        <f aca="false">B24-C12</f>
        <v>3.06</v>
      </c>
      <c r="E24" s="15" t="n">
        <f aca="false">D24^2</f>
        <v>9.3636</v>
      </c>
      <c r="F24" s="9" t="n">
        <f aca="false">C24-C23</f>
        <v>-0.13</v>
      </c>
      <c r="G24" s="8"/>
      <c r="H24" s="8" t="n">
        <v>0</v>
      </c>
      <c r="I24" s="8" t="n">
        <v>2011</v>
      </c>
      <c r="J24" s="8" t="n">
        <v>8</v>
      </c>
    </row>
    <row r="25" customFormat="false" ht="15" hidden="false" customHeight="false" outlineLevel="0" collapsed="false">
      <c r="A25" s="11" t="n">
        <v>40787</v>
      </c>
      <c r="B25" s="13" t="n">
        <v>8.31</v>
      </c>
      <c r="C25" s="13" t="n">
        <v>6.82</v>
      </c>
      <c r="D25" s="13" t="n">
        <f aca="false">B25-C13</f>
        <v>2.94</v>
      </c>
      <c r="E25" s="16" t="n">
        <f aca="false">D25^2</f>
        <v>8.6436</v>
      </c>
      <c r="F25" s="13" t="n">
        <f aca="false">C25-C24</f>
        <v>0.2</v>
      </c>
      <c r="G25" s="12"/>
      <c r="H25" s="12" t="n">
        <v>0</v>
      </c>
      <c r="I25" s="12" t="n">
        <v>2011</v>
      </c>
      <c r="J25" s="12" t="n">
        <v>9</v>
      </c>
    </row>
    <row r="26" customFormat="false" ht="15" hidden="false" customHeight="false" outlineLevel="0" collapsed="false">
      <c r="A26" s="7" t="n">
        <v>40817</v>
      </c>
      <c r="B26" s="9" t="n">
        <v>7.91</v>
      </c>
      <c r="C26" s="9" t="n">
        <v>7.09</v>
      </c>
      <c r="D26" s="9" t="n">
        <f aca="false">B26-C14</f>
        <v>2.74</v>
      </c>
      <c r="E26" s="15" t="n">
        <f aca="false">D26^2</f>
        <v>7.5076</v>
      </c>
      <c r="F26" s="9" t="n">
        <f aca="false">C26-C25</f>
        <v>0.27</v>
      </c>
      <c r="G26" s="9" t="n">
        <f aca="false">D14</f>
        <v>1.63</v>
      </c>
      <c r="H26" s="8" t="n">
        <v>0</v>
      </c>
      <c r="I26" s="8" t="n">
        <v>2011</v>
      </c>
      <c r="J26" s="8" t="n">
        <v>10</v>
      </c>
    </row>
    <row r="27" customFormat="false" ht="15" hidden="false" customHeight="false" outlineLevel="0" collapsed="false">
      <c r="A27" s="11" t="n">
        <v>40848</v>
      </c>
      <c r="B27" s="13" t="n">
        <v>7.79</v>
      </c>
      <c r="C27" s="13" t="n">
        <v>6.66</v>
      </c>
      <c r="D27" s="13" t="n">
        <f aca="false">B27-C15</f>
        <v>2.45</v>
      </c>
      <c r="E27" s="16" t="n">
        <f aca="false">D27^2</f>
        <v>6.0025</v>
      </c>
      <c r="F27" s="13" t="n">
        <f aca="false">C27-C26</f>
        <v>-0.43</v>
      </c>
      <c r="G27" s="13" t="n">
        <f aca="false">D15</f>
        <v>1.54</v>
      </c>
      <c r="H27" s="12" t="n">
        <v>0</v>
      </c>
      <c r="I27" s="12" t="n">
        <v>2011</v>
      </c>
      <c r="J27" s="12" t="n">
        <v>11</v>
      </c>
    </row>
    <row r="28" customFormat="false" ht="15" hidden="false" customHeight="false" outlineLevel="0" collapsed="false">
      <c r="A28" s="7" t="n">
        <v>40878</v>
      </c>
      <c r="B28" s="9" t="n">
        <v>7.76</v>
      </c>
      <c r="C28" s="9" t="n">
        <v>6.49</v>
      </c>
      <c r="D28" s="9" t="n">
        <f aca="false">B28-C16</f>
        <v>2.15</v>
      </c>
      <c r="E28" s="15" t="n">
        <f aca="false">D28^2</f>
        <v>4.6225</v>
      </c>
      <c r="F28" s="9" t="n">
        <f aca="false">C28-C27</f>
        <v>-0.17</v>
      </c>
      <c r="G28" s="9" t="n">
        <f aca="false">D16</f>
        <v>1.37</v>
      </c>
      <c r="H28" s="8" t="n">
        <v>0</v>
      </c>
      <c r="I28" s="8" t="n">
        <v>2011</v>
      </c>
      <c r="J28" s="8" t="n">
        <v>12</v>
      </c>
    </row>
    <row r="29" customFormat="false" ht="15" hidden="false" customHeight="false" outlineLevel="0" collapsed="false">
      <c r="A29" s="11" t="n">
        <v>40909</v>
      </c>
      <c r="B29" s="13" t="n">
        <v>7.31</v>
      </c>
      <c r="C29" s="13" t="n">
        <v>6.83</v>
      </c>
      <c r="D29" s="13" t="n">
        <f aca="false">B29-C17</f>
        <v>1.76</v>
      </c>
      <c r="E29" s="16" t="n">
        <f aca="false">D29^2</f>
        <v>3.0976</v>
      </c>
      <c r="F29" s="13" t="n">
        <f aca="false">C29-C28</f>
        <v>0.34</v>
      </c>
      <c r="G29" s="13" t="n">
        <f aca="false">D17</f>
        <v>1.29</v>
      </c>
      <c r="H29" s="12" t="n">
        <v>0</v>
      </c>
      <c r="I29" s="12" t="n">
        <v>2012</v>
      </c>
      <c r="J29" s="12" t="n">
        <v>1</v>
      </c>
    </row>
    <row r="30" customFormat="false" ht="15" hidden="false" customHeight="false" outlineLevel="0" collapsed="false">
      <c r="A30" s="7" t="n">
        <v>40940</v>
      </c>
      <c r="B30" s="9" t="n">
        <v>6.73</v>
      </c>
      <c r="C30" s="9" t="n">
        <v>6.71</v>
      </c>
      <c r="D30" s="9" t="n">
        <f aca="false">B30-C18</f>
        <v>1.13</v>
      </c>
      <c r="E30" s="15" t="n">
        <f aca="false">D30^2</f>
        <v>1.2769</v>
      </c>
      <c r="F30" s="9" t="n">
        <f aca="false">C30-C29</f>
        <v>-0.12</v>
      </c>
      <c r="G30" s="9" t="n">
        <f aca="false">D18</f>
        <v>1.65</v>
      </c>
      <c r="H30" s="8" t="n">
        <v>0</v>
      </c>
      <c r="I30" s="8" t="n">
        <v>2012</v>
      </c>
      <c r="J30" s="8" t="n">
        <v>2</v>
      </c>
    </row>
    <row r="31" customFormat="false" ht="15" hidden="false" customHeight="false" outlineLevel="0" collapsed="false">
      <c r="A31" s="11" t="n">
        <v>40969</v>
      </c>
      <c r="B31" s="13" t="n">
        <v>5.39</v>
      </c>
      <c r="C31" s="13" t="n">
        <v>6.04</v>
      </c>
      <c r="D31" s="13" t="n">
        <f aca="false">B31-C19</f>
        <v>-0.19</v>
      </c>
      <c r="E31" s="16" t="n">
        <f aca="false">D31^2</f>
        <v>0.0361000000000001</v>
      </c>
      <c r="F31" s="13" t="n">
        <f aca="false">C31-C30</f>
        <v>-0.67</v>
      </c>
      <c r="G31" s="13" t="n">
        <f aca="false">D19</f>
        <v>2.47</v>
      </c>
      <c r="H31" s="12" t="n">
        <v>0</v>
      </c>
      <c r="I31" s="12" t="n">
        <v>2012</v>
      </c>
      <c r="J31" s="12" t="n">
        <v>3</v>
      </c>
    </row>
    <row r="32" customFormat="false" ht="15" hidden="false" customHeight="false" outlineLevel="0" collapsed="false">
      <c r="A32" s="7" t="n">
        <v>41000</v>
      </c>
      <c r="B32" s="9" t="n">
        <v>4.46</v>
      </c>
      <c r="C32" s="9" t="n">
        <v>5.7</v>
      </c>
      <c r="D32" s="9" t="n">
        <f aca="false">B32-C20</f>
        <v>-1.46</v>
      </c>
      <c r="E32" s="15" t="n">
        <f aca="false">D32^2</f>
        <v>2.1316</v>
      </c>
      <c r="F32" s="9" t="n">
        <f aca="false">C32-C31</f>
        <v>-0.34</v>
      </c>
      <c r="G32" s="9" t="n">
        <f aca="false">D20</f>
        <v>3.21</v>
      </c>
      <c r="H32" s="8" t="n">
        <v>0</v>
      </c>
      <c r="I32" s="8" t="n">
        <v>2012</v>
      </c>
      <c r="J32" s="8" t="n">
        <v>4</v>
      </c>
    </row>
    <row r="33" customFormat="false" ht="15" hidden="false" customHeight="false" outlineLevel="0" collapsed="false">
      <c r="A33" s="11" t="n">
        <v>41030</v>
      </c>
      <c r="B33" s="13" t="n">
        <v>3.61</v>
      </c>
      <c r="C33" s="13" t="n">
        <v>5.47</v>
      </c>
      <c r="D33" s="13" t="n">
        <f aca="false">B33-C21</f>
        <v>-2.66</v>
      </c>
      <c r="E33" s="16" t="n">
        <f aca="false">D33^2</f>
        <v>7.0756</v>
      </c>
      <c r="F33" s="13" t="n">
        <f aca="false">C33-C32</f>
        <v>-0.23</v>
      </c>
      <c r="G33" s="13" t="n">
        <f aca="false">D21</f>
        <v>3.89</v>
      </c>
      <c r="H33" s="12" t="n">
        <v>0</v>
      </c>
      <c r="I33" s="12" t="n">
        <v>2012</v>
      </c>
      <c r="J33" s="12" t="n">
        <v>5</v>
      </c>
    </row>
    <row r="34" customFormat="false" ht="15" hidden="false" customHeight="false" outlineLevel="0" collapsed="false">
      <c r="A34" s="7" t="n">
        <v>41061</v>
      </c>
      <c r="B34" s="9" t="n">
        <v>3.67</v>
      </c>
      <c r="C34" s="9" t="n">
        <v>4.97</v>
      </c>
      <c r="D34" s="9" t="n">
        <f aca="false">B34-C22</f>
        <v>-2.74</v>
      </c>
      <c r="E34" s="15" t="n">
        <f aca="false">D34^2</f>
        <v>7.5076</v>
      </c>
      <c r="F34" s="9" t="n">
        <f aca="false">C34-C33</f>
        <v>-0.5</v>
      </c>
      <c r="G34" s="9" t="n">
        <f aca="false">D22</f>
        <v>3.61</v>
      </c>
      <c r="H34" s="8" t="n">
        <v>0</v>
      </c>
      <c r="I34" s="8" t="n">
        <v>2012</v>
      </c>
      <c r="J34" s="8" t="n">
        <v>6</v>
      </c>
    </row>
    <row r="35" customFormat="false" ht="15" hidden="false" customHeight="false" outlineLevel="0" collapsed="false">
      <c r="A35" s="11" t="n">
        <v>41091</v>
      </c>
      <c r="B35" s="13" t="n">
        <v>4.2</v>
      </c>
      <c r="C35" s="13" t="n">
        <v>4.49</v>
      </c>
      <c r="D35" s="13" t="n">
        <f aca="false">B35-C23</f>
        <v>-2.55</v>
      </c>
      <c r="E35" s="16" t="n">
        <f aca="false">D35^2</f>
        <v>6.5025</v>
      </c>
      <c r="F35" s="13" t="n">
        <f aca="false">C35-C34</f>
        <v>-0.48</v>
      </c>
      <c r="G35" s="13" t="n">
        <f aca="false">D23</f>
        <v>2.63</v>
      </c>
      <c r="H35" s="12" t="n">
        <v>0</v>
      </c>
      <c r="I35" s="12" t="n">
        <v>2012</v>
      </c>
      <c r="J35" s="12" t="n">
        <v>7</v>
      </c>
    </row>
    <row r="36" customFormat="false" ht="15" hidden="false" customHeight="false" outlineLevel="0" collapsed="false">
      <c r="A36" s="7" t="n">
        <v>41122</v>
      </c>
      <c r="B36" s="9" t="n">
        <v>3.48</v>
      </c>
      <c r="C36" s="9" t="n">
        <v>4.32</v>
      </c>
      <c r="D36" s="9" t="n">
        <f aca="false">B36-C24</f>
        <v>-3.14</v>
      </c>
      <c r="E36" s="15" t="n">
        <f aca="false">D36^2</f>
        <v>9.8596</v>
      </c>
      <c r="F36" s="9" t="n">
        <f aca="false">C36-C35</f>
        <v>-0.17</v>
      </c>
      <c r="G36" s="9" t="n">
        <f aca="false">D24</f>
        <v>3.06</v>
      </c>
      <c r="H36" s="8" t="n">
        <v>0</v>
      </c>
      <c r="I36" s="8" t="n">
        <v>2012</v>
      </c>
      <c r="J36" s="8" t="n">
        <v>8</v>
      </c>
    </row>
    <row r="37" customFormat="false" ht="15" hidden="false" customHeight="false" outlineLevel="0" collapsed="false">
      <c r="A37" s="11" t="n">
        <v>41153</v>
      </c>
      <c r="B37" s="13" t="n">
        <v>3.54</v>
      </c>
      <c r="C37" s="13" t="n">
        <v>4.19</v>
      </c>
      <c r="D37" s="13" t="n">
        <f aca="false">B37-C25</f>
        <v>-3.28</v>
      </c>
      <c r="E37" s="16" t="n">
        <f aca="false">D37^2</f>
        <v>10.7584</v>
      </c>
      <c r="F37" s="13" t="n">
        <f aca="false">C37-C36</f>
        <v>-0.13</v>
      </c>
      <c r="G37" s="13" t="n">
        <f aca="false">D25</f>
        <v>2.94</v>
      </c>
      <c r="H37" s="12" t="n">
        <v>0</v>
      </c>
      <c r="I37" s="12" t="n">
        <v>2012</v>
      </c>
      <c r="J37" s="12" t="n">
        <v>9</v>
      </c>
    </row>
    <row r="38" customFormat="false" ht="15" hidden="false" customHeight="false" outlineLevel="0" collapsed="false">
      <c r="A38" s="7" t="n">
        <v>41183</v>
      </c>
      <c r="B38" s="9" t="n">
        <v>3.78</v>
      </c>
      <c r="C38" s="9" t="n">
        <v>3.93</v>
      </c>
      <c r="D38" s="9" t="n">
        <f aca="false">B38-C26</f>
        <v>-3.31</v>
      </c>
      <c r="E38" s="15" t="n">
        <f aca="false">D38^2</f>
        <v>10.9561</v>
      </c>
      <c r="F38" s="9" t="n">
        <f aca="false">C38-C37</f>
        <v>-0.26</v>
      </c>
      <c r="G38" s="9" t="n">
        <f aca="false">D26</f>
        <v>2.74</v>
      </c>
      <c r="H38" s="8" t="n">
        <v>0</v>
      </c>
      <c r="I38" s="8" t="n">
        <v>2012</v>
      </c>
      <c r="J38" s="8" t="n">
        <v>10</v>
      </c>
    </row>
    <row r="39" customFormat="false" ht="15" hidden="false" customHeight="false" outlineLevel="0" collapsed="false">
      <c r="A39" s="11" t="n">
        <v>41214</v>
      </c>
      <c r="B39" s="13" t="n">
        <v>3.91</v>
      </c>
      <c r="C39" s="13" t="n">
        <v>3.82</v>
      </c>
      <c r="D39" s="13" t="n">
        <f aca="false">B39-C27</f>
        <v>-2.75</v>
      </c>
      <c r="E39" s="16" t="n">
        <f aca="false">D39^2</f>
        <v>7.5625</v>
      </c>
      <c r="F39" s="13" t="n">
        <f aca="false">C39-C38</f>
        <v>-0.11</v>
      </c>
      <c r="G39" s="13" t="n">
        <f aca="false">D27</f>
        <v>2.45</v>
      </c>
      <c r="H39" s="12" t="n">
        <v>0</v>
      </c>
      <c r="I39" s="12" t="n">
        <v>2012</v>
      </c>
      <c r="J39" s="12" t="n">
        <v>11</v>
      </c>
    </row>
    <row r="40" customFormat="false" ht="15" hidden="false" customHeight="false" outlineLevel="0" collapsed="false">
      <c r="A40" s="7" t="n">
        <v>41244</v>
      </c>
      <c r="B40" s="9" t="n">
        <v>3.91</v>
      </c>
      <c r="C40" s="9" t="n">
        <v>3.87</v>
      </c>
      <c r="D40" s="9" t="n">
        <f aca="false">B40-C28</f>
        <v>-2.58</v>
      </c>
      <c r="E40" s="15" t="n">
        <f aca="false">D40^2</f>
        <v>6.6564</v>
      </c>
      <c r="F40" s="9" t="n">
        <f aca="false">C40-C39</f>
        <v>0.0500000000000003</v>
      </c>
      <c r="G40" s="9" t="n">
        <f aca="false">D28</f>
        <v>2.15</v>
      </c>
      <c r="H40" s="8" t="n">
        <v>0</v>
      </c>
      <c r="I40" s="8" t="n">
        <v>2012</v>
      </c>
      <c r="J40" s="8" t="n">
        <v>12</v>
      </c>
    </row>
    <row r="41" customFormat="false" ht="15" hidden="false" customHeight="false" outlineLevel="0" collapsed="false">
      <c r="A41" s="11" t="n">
        <v>41275</v>
      </c>
      <c r="B41" s="13" t="n">
        <v>4.66</v>
      </c>
      <c r="C41" s="13" t="n">
        <v>3.87</v>
      </c>
      <c r="D41" s="13" t="n">
        <f aca="false">B41-C29</f>
        <v>-2.17</v>
      </c>
      <c r="E41" s="16" t="n">
        <f aca="false">D41^2</f>
        <v>4.7089</v>
      </c>
      <c r="F41" s="13" t="n">
        <f aca="false">C41-C40</f>
        <v>0</v>
      </c>
      <c r="G41" s="13" t="n">
        <f aca="false">D29</f>
        <v>1.76</v>
      </c>
      <c r="H41" s="12" t="n">
        <v>0</v>
      </c>
      <c r="I41" s="12" t="n">
        <v>2013</v>
      </c>
      <c r="J41" s="12" t="n">
        <v>1</v>
      </c>
    </row>
    <row r="42" customFormat="false" ht="15" hidden="false" customHeight="false" outlineLevel="0" collapsed="false">
      <c r="A42" s="7" t="n">
        <v>41306</v>
      </c>
      <c r="B42" s="9" t="n">
        <v>4.85</v>
      </c>
      <c r="C42" s="9" t="n">
        <v>3.95</v>
      </c>
      <c r="D42" s="9" t="n">
        <f aca="false">B42-C30</f>
        <v>-1.86</v>
      </c>
      <c r="E42" s="15" t="n">
        <f aca="false">D42^2</f>
        <v>3.4596</v>
      </c>
      <c r="F42" s="9" t="n">
        <f aca="false">C42-C41</f>
        <v>0.0800000000000001</v>
      </c>
      <c r="G42" s="9" t="n">
        <f aca="false">D30</f>
        <v>1.13</v>
      </c>
      <c r="H42" s="8" t="n">
        <v>0</v>
      </c>
      <c r="I42" s="8" t="n">
        <v>2013</v>
      </c>
      <c r="J42" s="8" t="n">
        <v>2</v>
      </c>
    </row>
    <row r="43" customFormat="false" ht="15" hidden="false" customHeight="false" outlineLevel="0" collapsed="false">
      <c r="A43" s="11" t="n">
        <v>41334</v>
      </c>
      <c r="B43" s="13" t="n">
        <v>5.22</v>
      </c>
      <c r="C43" s="13" t="n">
        <v>4.17</v>
      </c>
      <c r="D43" s="13" t="n">
        <f aca="false">B43-C31</f>
        <v>-0.82</v>
      </c>
      <c r="E43" s="16" t="n">
        <f aca="false">D43^2</f>
        <v>0.6724</v>
      </c>
      <c r="F43" s="13" t="n">
        <f aca="false">C43-C42</f>
        <v>0.22</v>
      </c>
      <c r="G43" s="13" t="n">
        <f aca="false">D31</f>
        <v>-0.19</v>
      </c>
      <c r="H43" s="12" t="n">
        <v>0</v>
      </c>
      <c r="I43" s="12" t="n">
        <v>2013</v>
      </c>
      <c r="J43" s="12" t="n">
        <v>3</v>
      </c>
    </row>
    <row r="44" customFormat="false" ht="15" hidden="false" customHeight="false" outlineLevel="0" collapsed="false">
      <c r="A44" s="7" t="n">
        <v>41365</v>
      </c>
      <c r="B44" s="9" t="n">
        <v>4.91</v>
      </c>
      <c r="C44" s="9" t="n">
        <v>4.47</v>
      </c>
      <c r="D44" s="9" t="n">
        <f aca="false">B44-C32</f>
        <v>-0.79</v>
      </c>
      <c r="E44" s="15" t="n">
        <f aca="false">D44^2</f>
        <v>0.6241</v>
      </c>
      <c r="F44" s="9" t="n">
        <f aca="false">C44-C43</f>
        <v>0.3</v>
      </c>
      <c r="G44" s="9" t="n">
        <f aca="false">D32</f>
        <v>-1.46</v>
      </c>
      <c r="H44" s="8" t="n">
        <v>0</v>
      </c>
      <c r="I44" s="8" t="n">
        <v>2013</v>
      </c>
      <c r="J44" s="8" t="n">
        <v>4</v>
      </c>
    </row>
    <row r="45" customFormat="false" ht="15" hidden="false" customHeight="false" outlineLevel="0" collapsed="false">
      <c r="A45" s="11" t="n">
        <v>41395</v>
      </c>
      <c r="B45" s="13" t="n">
        <v>5.58</v>
      </c>
      <c r="C45" s="13" t="n">
        <v>4.5</v>
      </c>
      <c r="D45" s="13" t="n">
        <f aca="false">B45-C33</f>
        <v>0.11</v>
      </c>
      <c r="E45" s="16" t="n">
        <f aca="false">D45^2</f>
        <v>0.0121000000000001</v>
      </c>
      <c r="F45" s="13" t="n">
        <f aca="false">C45-C44</f>
        <v>0.0300000000000003</v>
      </c>
      <c r="G45" s="13" t="n">
        <f aca="false">D33</f>
        <v>-2.66</v>
      </c>
      <c r="H45" s="12" t="n">
        <v>0</v>
      </c>
      <c r="I45" s="12" t="n">
        <v>2013</v>
      </c>
      <c r="J45" s="12" t="n">
        <v>5</v>
      </c>
    </row>
    <row r="46" customFormat="false" ht="15" hidden="false" customHeight="false" outlineLevel="0" collapsed="false">
      <c r="A46" s="7" t="n">
        <v>41426</v>
      </c>
      <c r="B46" s="9" t="n">
        <v>5.42</v>
      </c>
      <c r="C46" s="9" t="n">
        <v>4.61</v>
      </c>
      <c r="D46" s="9" t="n">
        <f aca="false">B46-C34</f>
        <v>0.45</v>
      </c>
      <c r="E46" s="15" t="n">
        <f aca="false">D46^2</f>
        <v>0.2025</v>
      </c>
      <c r="F46" s="9" t="n">
        <f aca="false">C46-C45</f>
        <v>0.11</v>
      </c>
      <c r="G46" s="9" t="n">
        <f aca="false">D34</f>
        <v>-2.74</v>
      </c>
      <c r="H46" s="8" t="n">
        <v>0</v>
      </c>
      <c r="I46" s="8" t="n">
        <v>2013</v>
      </c>
      <c r="J46" s="8" t="n">
        <v>6</v>
      </c>
    </row>
    <row r="47" customFormat="false" ht="15" hidden="false" customHeight="false" outlineLevel="0" collapsed="false">
      <c r="A47" s="11" t="n">
        <v>41456</v>
      </c>
      <c r="B47" s="13" t="n">
        <v>4.45</v>
      </c>
      <c r="C47" s="13" t="n">
        <v>4.97</v>
      </c>
      <c r="D47" s="13" t="n">
        <f aca="false">B47-C35</f>
        <v>-0.04</v>
      </c>
      <c r="E47" s="16" t="n">
        <f aca="false">D47^2</f>
        <v>0.0016</v>
      </c>
      <c r="F47" s="13" t="n">
        <f aca="false">C47-C46</f>
        <v>0.359999999999999</v>
      </c>
      <c r="G47" s="13" t="n">
        <f aca="false">D35</f>
        <v>-2.55</v>
      </c>
      <c r="H47" s="12" t="n">
        <v>0</v>
      </c>
      <c r="I47" s="12" t="n">
        <v>2013</v>
      </c>
      <c r="J47" s="12" t="n">
        <v>7</v>
      </c>
    </row>
    <row r="48" customFormat="false" ht="15" hidden="false" customHeight="false" outlineLevel="0" collapsed="false">
      <c r="A48" s="7" t="n">
        <v>41487</v>
      </c>
      <c r="B48" s="9" t="n">
        <v>4.66</v>
      </c>
      <c r="C48" s="9" t="n">
        <v>4.77</v>
      </c>
      <c r="D48" s="9" t="n">
        <f aca="false">B48-C36</f>
        <v>0.34</v>
      </c>
      <c r="E48" s="15" t="n">
        <f aca="false">D48^2</f>
        <v>0.1156</v>
      </c>
      <c r="F48" s="9" t="n">
        <f aca="false">C48-C47</f>
        <v>-0.2</v>
      </c>
      <c r="G48" s="9" t="n">
        <f aca="false">D36</f>
        <v>-3.14</v>
      </c>
      <c r="H48" s="8" t="n">
        <v>0</v>
      </c>
      <c r="I48" s="8" t="n">
        <v>2013</v>
      </c>
      <c r="J48" s="8" t="n">
        <v>8</v>
      </c>
    </row>
    <row r="49" customFormat="false" ht="15" hidden="false" customHeight="false" outlineLevel="0" collapsed="false">
      <c r="A49" s="11" t="n">
        <v>41518</v>
      </c>
      <c r="B49" s="13" t="n">
        <v>4.85</v>
      </c>
      <c r="C49" s="13" t="n">
        <v>4.59</v>
      </c>
      <c r="D49" s="13" t="n">
        <f aca="false">B49-C37</f>
        <v>0.659999999999999</v>
      </c>
      <c r="E49" s="16" t="n">
        <f aca="false">D49^2</f>
        <v>0.435599999999999</v>
      </c>
      <c r="F49" s="13" t="n">
        <f aca="false">C49-C48</f>
        <v>-0.18</v>
      </c>
      <c r="G49" s="13" t="n">
        <f aca="false">D37</f>
        <v>-3.28</v>
      </c>
      <c r="H49" s="12" t="n">
        <v>0</v>
      </c>
      <c r="I49" s="12" t="n">
        <v>2013</v>
      </c>
      <c r="J49" s="12" t="n">
        <v>9</v>
      </c>
    </row>
    <row r="50" customFormat="false" ht="15" hidden="false" customHeight="false" outlineLevel="0" collapsed="false">
      <c r="A50" s="7" t="n">
        <v>41548</v>
      </c>
      <c r="B50" s="9" t="n">
        <v>4.61</v>
      </c>
      <c r="C50" s="9" t="n">
        <v>4.66</v>
      </c>
      <c r="D50" s="9" t="n">
        <f aca="false">B50-C38</f>
        <v>0.68</v>
      </c>
      <c r="E50" s="15" t="n">
        <f aca="false">D50^2</f>
        <v>0.4624</v>
      </c>
      <c r="F50" s="9" t="n">
        <f aca="false">C50-C49</f>
        <v>0.0700000000000003</v>
      </c>
      <c r="G50" s="9" t="n">
        <f aca="false">D38</f>
        <v>-3.31</v>
      </c>
      <c r="H50" s="8" t="n">
        <v>0</v>
      </c>
      <c r="I50" s="8" t="n">
        <v>2013</v>
      </c>
      <c r="J50" s="8" t="n">
        <v>10</v>
      </c>
    </row>
    <row r="51" customFormat="false" ht="15" hidden="false" customHeight="false" outlineLevel="0" collapsed="false">
      <c r="A51" s="11" t="n">
        <v>41579</v>
      </c>
      <c r="B51" s="13" t="n">
        <v>3.96</v>
      </c>
      <c r="C51" s="13" t="n">
        <v>4.52</v>
      </c>
      <c r="D51" s="13" t="n">
        <f aca="false">B51-C39</f>
        <v>0.14</v>
      </c>
      <c r="E51" s="16" t="n">
        <f aca="false">D51^2</f>
        <v>0.0196</v>
      </c>
      <c r="F51" s="13" t="n">
        <f aca="false">C51-C50</f>
        <v>-0.140000000000001</v>
      </c>
      <c r="G51" s="13" t="n">
        <f aca="false">D39</f>
        <v>-2.75</v>
      </c>
      <c r="H51" s="12" t="n">
        <v>0</v>
      </c>
      <c r="I51" s="12" t="n">
        <v>2013</v>
      </c>
      <c r="J51" s="12" t="n">
        <v>11</v>
      </c>
    </row>
    <row r="52" customFormat="false" ht="15" hidden="false" customHeight="false" outlineLevel="0" collapsed="false">
      <c r="A52" s="7" t="n">
        <v>41609</v>
      </c>
      <c r="B52" s="9" t="n">
        <v>3.88</v>
      </c>
      <c r="C52" s="9" t="n">
        <v>4.28</v>
      </c>
      <c r="D52" s="9" t="n">
        <f aca="false">B52-C40</f>
        <v>0.00999999999999979</v>
      </c>
      <c r="E52" s="15" t="n">
        <f aca="false">D52^2</f>
        <v>9.99999999999957E-005</v>
      </c>
      <c r="F52" s="9" t="n">
        <f aca="false">C52-C51</f>
        <v>-0.239999999999999</v>
      </c>
      <c r="G52" s="9" t="n">
        <f aca="false">D40</f>
        <v>-2.58</v>
      </c>
      <c r="H52" s="8" t="n">
        <v>0</v>
      </c>
      <c r="I52" s="8" t="n">
        <v>2013</v>
      </c>
      <c r="J52" s="8" t="n">
        <v>12</v>
      </c>
    </row>
    <row r="53" customFormat="false" ht="15" hidden="false" customHeight="false" outlineLevel="0" collapsed="false">
      <c r="A53" s="11" t="n">
        <v>41640</v>
      </c>
      <c r="B53" s="13" t="n">
        <v>3.43</v>
      </c>
      <c r="C53" s="13" t="n">
        <v>4.06</v>
      </c>
      <c r="D53" s="13" t="n">
        <f aca="false">B53-C41</f>
        <v>-0.44</v>
      </c>
      <c r="E53" s="16" t="n">
        <f aca="false">D53^2</f>
        <v>0.1936</v>
      </c>
      <c r="F53" s="13" t="n">
        <f aca="false">C53-C52</f>
        <v>-0.220000000000001</v>
      </c>
      <c r="G53" s="13" t="n">
        <f aca="false">D41</f>
        <v>-2.17</v>
      </c>
      <c r="H53" s="12" t="n">
        <v>0</v>
      </c>
      <c r="I53" s="12" t="n">
        <v>2014</v>
      </c>
      <c r="J53" s="12" t="n">
        <v>1</v>
      </c>
    </row>
    <row r="54" customFormat="false" ht="15" hidden="false" customHeight="false" outlineLevel="0" collapsed="false">
      <c r="A54" s="7" t="n">
        <v>41671</v>
      </c>
      <c r="B54" s="9" t="n">
        <v>3.18</v>
      </c>
      <c r="C54" s="9" t="n">
        <v>3.75</v>
      </c>
      <c r="D54" s="9" t="n">
        <f aca="false">B54-C42</f>
        <v>-0.77</v>
      </c>
      <c r="E54" s="15" t="n">
        <f aca="false">D54^2</f>
        <v>0.5929</v>
      </c>
      <c r="F54" s="9" t="n">
        <f aca="false">C54-C53</f>
        <v>-0.31</v>
      </c>
      <c r="G54" s="9" t="n">
        <f aca="false">D42</f>
        <v>-1.86</v>
      </c>
      <c r="H54" s="8" t="n">
        <v>0</v>
      </c>
      <c r="I54" s="8" t="n">
        <v>2014</v>
      </c>
      <c r="J54" s="8" t="n">
        <v>2</v>
      </c>
    </row>
    <row r="55" customFormat="false" ht="15" hidden="false" customHeight="false" outlineLevel="0" collapsed="false">
      <c r="A55" s="11" t="n">
        <v>41699</v>
      </c>
      <c r="B55" s="13" t="n">
        <v>2.95</v>
      </c>
      <c r="C55" s="13" t="n">
        <v>3.72</v>
      </c>
      <c r="D55" s="13" t="n">
        <f aca="false">B55-C43</f>
        <v>-1.22</v>
      </c>
      <c r="E55" s="16" t="n">
        <f aca="false">D55^2</f>
        <v>1.4884</v>
      </c>
      <c r="F55" s="13" t="n">
        <f aca="false">C55-C54</f>
        <v>-0.0299999999999998</v>
      </c>
      <c r="G55" s="13" t="n">
        <f aca="false">D43</f>
        <v>-0.82</v>
      </c>
      <c r="H55" s="12" t="n">
        <v>0</v>
      </c>
      <c r="I55" s="12" t="n">
        <v>2014</v>
      </c>
      <c r="J55" s="12" t="n">
        <v>3</v>
      </c>
    </row>
    <row r="56" customFormat="false" ht="15" hidden="false" customHeight="false" outlineLevel="0" collapsed="false">
      <c r="A56" s="7" t="n">
        <v>41730</v>
      </c>
      <c r="B56" s="9" t="n">
        <v>3.05</v>
      </c>
      <c r="C56" s="9" t="n">
        <v>3.43</v>
      </c>
      <c r="D56" s="9" t="n">
        <f aca="false">B56-C44</f>
        <v>-1.42</v>
      </c>
      <c r="E56" s="15" t="n">
        <f aca="false">D56^2</f>
        <v>2.0164</v>
      </c>
      <c r="F56" s="9" t="n">
        <f aca="false">C56-C55</f>
        <v>-0.29</v>
      </c>
      <c r="G56" s="9" t="n">
        <f aca="false">D44</f>
        <v>-0.79</v>
      </c>
      <c r="H56" s="8" t="n">
        <v>0</v>
      </c>
      <c r="I56" s="8" t="n">
        <v>2014</v>
      </c>
      <c r="J56" s="8" t="n">
        <v>4</v>
      </c>
    </row>
    <row r="57" customFormat="false" ht="15" hidden="false" customHeight="false" outlineLevel="0" collapsed="false">
      <c r="A57" s="11" t="n">
        <v>41760</v>
      </c>
      <c r="B57" s="13" t="n">
        <v>2.49</v>
      </c>
      <c r="C57" s="13" t="n">
        <v>3.26</v>
      </c>
      <c r="D57" s="13" t="n">
        <f aca="false">B57-C45</f>
        <v>-2.01</v>
      </c>
      <c r="E57" s="16" t="n">
        <f aca="false">D57^2</f>
        <v>4.0401</v>
      </c>
      <c r="F57" s="13" t="n">
        <f aca="false">C57-C56</f>
        <v>-0.17</v>
      </c>
      <c r="G57" s="13" t="n">
        <f aca="false">D45</f>
        <v>0.11</v>
      </c>
      <c r="H57" s="12" t="n">
        <v>0</v>
      </c>
      <c r="I57" s="12" t="n">
        <v>2014</v>
      </c>
      <c r="J57" s="12" t="n">
        <v>5</v>
      </c>
    </row>
    <row r="58" customFormat="false" ht="15" hidden="false" customHeight="false" outlineLevel="0" collapsed="false">
      <c r="A58" s="7" t="n">
        <v>41791</v>
      </c>
      <c r="B58" s="9" t="n">
        <v>2.42</v>
      </c>
      <c r="C58" s="9" t="n">
        <v>3.52</v>
      </c>
      <c r="D58" s="9" t="n">
        <f aca="false">B58-C46</f>
        <v>-2.19</v>
      </c>
      <c r="E58" s="15" t="n">
        <f aca="false">D58^2</f>
        <v>4.7961</v>
      </c>
      <c r="F58" s="9" t="n">
        <f aca="false">C58-C57</f>
        <v>0.26</v>
      </c>
      <c r="G58" s="9" t="n">
        <f aca="false">D46</f>
        <v>0.45</v>
      </c>
      <c r="H58" s="8" t="n">
        <v>0</v>
      </c>
      <c r="I58" s="8" t="n">
        <v>2014</v>
      </c>
      <c r="J58" s="8" t="n">
        <v>6</v>
      </c>
    </row>
    <row r="59" customFormat="false" ht="15" hidden="false" customHeight="false" outlineLevel="0" collapsed="false">
      <c r="A59" s="11" t="n">
        <v>41821</v>
      </c>
      <c r="B59" s="13" t="n">
        <v>3.03</v>
      </c>
      <c r="C59" s="13" t="n">
        <v>3.26</v>
      </c>
      <c r="D59" s="13" t="n">
        <f aca="false">B59-C47</f>
        <v>-1.94</v>
      </c>
      <c r="E59" s="16" t="n">
        <f aca="false">D59^2</f>
        <v>3.7636</v>
      </c>
      <c r="F59" s="13" t="n">
        <f aca="false">C59-C58</f>
        <v>-0.26</v>
      </c>
      <c r="G59" s="13" t="n">
        <f aca="false">D47</f>
        <v>-0.04</v>
      </c>
      <c r="H59" s="12" t="n">
        <v>0</v>
      </c>
      <c r="I59" s="12" t="n">
        <v>2014</v>
      </c>
      <c r="J59" s="12" t="n">
        <v>7</v>
      </c>
    </row>
    <row r="60" customFormat="false" ht="15" hidden="false" customHeight="false" outlineLevel="0" collapsed="false">
      <c r="A60" s="7" t="n">
        <v>41852</v>
      </c>
      <c r="B60" s="9" t="n">
        <v>2.84</v>
      </c>
      <c r="C60" s="9" t="n">
        <v>3.19</v>
      </c>
      <c r="D60" s="9" t="n">
        <f aca="false">B60-C48</f>
        <v>-1.93</v>
      </c>
      <c r="E60" s="15" t="n">
        <f aca="false">D60^2</f>
        <v>3.7249</v>
      </c>
      <c r="F60" s="9" t="n">
        <f aca="false">C60-C59</f>
        <v>-0.0699999999999998</v>
      </c>
      <c r="G60" s="9" t="n">
        <f aca="false">D48</f>
        <v>0.34</v>
      </c>
      <c r="H60" s="8" t="n">
        <v>0</v>
      </c>
      <c r="I60" s="8" t="n">
        <v>2014</v>
      </c>
      <c r="J60" s="8" t="n">
        <v>8</v>
      </c>
    </row>
    <row r="61" customFormat="false" ht="15" hidden="false" customHeight="false" outlineLevel="0" collapsed="false">
      <c r="A61" s="11" t="n">
        <v>41883</v>
      </c>
      <c r="B61" s="13" t="n">
        <v>2.59</v>
      </c>
      <c r="C61" s="13" t="n">
        <v>3.33</v>
      </c>
      <c r="D61" s="13" t="n">
        <f aca="false">B61-C49</f>
        <v>-2</v>
      </c>
      <c r="E61" s="16" t="n">
        <f aca="false">D61^2</f>
        <v>4</v>
      </c>
      <c r="F61" s="13" t="n">
        <f aca="false">C61-C60</f>
        <v>0.14</v>
      </c>
      <c r="G61" s="13" t="n">
        <f aca="false">D49</f>
        <v>0.659999999999999</v>
      </c>
      <c r="H61" s="12" t="n">
        <v>0</v>
      </c>
      <c r="I61" s="12" t="n">
        <v>2014</v>
      </c>
      <c r="J61" s="12" t="n">
        <v>9</v>
      </c>
    </row>
    <row r="62" customFormat="false" ht="15" hidden="false" customHeight="false" outlineLevel="0" collapsed="false">
      <c r="A62" s="7" t="n">
        <v>41913</v>
      </c>
      <c r="B62" s="9" t="n">
        <v>2.41</v>
      </c>
      <c r="C62" s="9" t="n">
        <v>3.29</v>
      </c>
      <c r="D62" s="9" t="n">
        <f aca="false">B62-C50</f>
        <v>-2.25</v>
      </c>
      <c r="E62" s="15" t="n">
        <f aca="false">D62^2</f>
        <v>5.0625</v>
      </c>
      <c r="F62" s="9" t="n">
        <f aca="false">C62-C61</f>
        <v>-0.04</v>
      </c>
      <c r="G62" s="9" t="n">
        <f aca="false">D50</f>
        <v>0.68</v>
      </c>
      <c r="H62" s="8" t="n">
        <v>0</v>
      </c>
      <c r="I62" s="8" t="n">
        <v>2014</v>
      </c>
      <c r="J62" s="8" t="n">
        <v>10</v>
      </c>
    </row>
    <row r="63" customFormat="false" ht="15" hidden="false" customHeight="false" outlineLevel="0" collapsed="false">
      <c r="A63" s="11" t="n">
        <v>41944</v>
      </c>
      <c r="B63" s="13" t="n">
        <v>2.5</v>
      </c>
      <c r="C63" s="13" t="n">
        <v>3.14</v>
      </c>
      <c r="D63" s="13" t="n">
        <f aca="false">B63-C51</f>
        <v>-2.02</v>
      </c>
      <c r="E63" s="16" t="n">
        <f aca="false">D63^2</f>
        <v>4.0804</v>
      </c>
      <c r="F63" s="13" t="n">
        <f aca="false">C63-C62</f>
        <v>-0.15</v>
      </c>
      <c r="G63" s="13" t="n">
        <f aca="false">D51</f>
        <v>0.14</v>
      </c>
      <c r="H63" s="12" t="n">
        <v>0</v>
      </c>
      <c r="I63" s="12" t="n">
        <v>2014</v>
      </c>
      <c r="J63" s="12" t="n">
        <v>11</v>
      </c>
    </row>
    <row r="64" customFormat="false" ht="15" hidden="false" customHeight="false" outlineLevel="0" collapsed="false">
      <c r="A64" s="7" t="n">
        <v>41974</v>
      </c>
      <c r="B64" s="9" t="n">
        <v>1.58</v>
      </c>
      <c r="C64" s="9" t="n">
        <v>3.06</v>
      </c>
      <c r="D64" s="9" t="n">
        <f aca="false">B64-C52</f>
        <v>-2.7</v>
      </c>
      <c r="E64" s="15" t="n">
        <f aca="false">D64^2</f>
        <v>7.29</v>
      </c>
      <c r="F64" s="9" t="n">
        <f aca="false">C64-C63</f>
        <v>-0.0800000000000001</v>
      </c>
      <c r="G64" s="9" t="n">
        <f aca="false">D52</f>
        <v>0.00999999999999979</v>
      </c>
      <c r="H64" s="8" t="n">
        <v>0</v>
      </c>
      <c r="I64" s="8" t="n">
        <v>2014</v>
      </c>
      <c r="J64" s="8" t="n">
        <v>12</v>
      </c>
    </row>
    <row r="65" customFormat="false" ht="15" hidden="false" customHeight="false" outlineLevel="0" collapsed="false">
      <c r="A65" s="11" t="n">
        <v>42005</v>
      </c>
      <c r="B65" s="13" t="n">
        <v>0.82</v>
      </c>
      <c r="C65" s="13" t="n">
        <v>2.96</v>
      </c>
      <c r="D65" s="13" t="n">
        <f aca="false">B65-C53</f>
        <v>-3.24</v>
      </c>
      <c r="E65" s="16" t="n">
        <f aca="false">D65^2</f>
        <v>10.4976</v>
      </c>
      <c r="F65" s="13" t="n">
        <f aca="false">C65-C64</f>
        <v>-0.1</v>
      </c>
      <c r="G65" s="13" t="n">
        <f aca="false">D53</f>
        <v>-0.44</v>
      </c>
      <c r="H65" s="12" t="n">
        <v>0</v>
      </c>
      <c r="I65" s="12" t="n">
        <v>2015</v>
      </c>
      <c r="J65" s="12" t="n">
        <v>1</v>
      </c>
    </row>
    <row r="66" customFormat="false" ht="15" hidden="false" customHeight="false" outlineLevel="0" collapsed="false">
      <c r="A66" s="7" t="n">
        <v>42036</v>
      </c>
      <c r="B66" s="9" t="n">
        <v>0.16</v>
      </c>
      <c r="C66" s="9" t="n">
        <v>2.57</v>
      </c>
      <c r="D66" s="9" t="n">
        <f aca="false">B66-C54</f>
        <v>-3.59</v>
      </c>
      <c r="E66" s="15" t="n">
        <f aca="false">D66^2</f>
        <v>12.8881</v>
      </c>
      <c r="F66" s="9" t="n">
        <f aca="false">C66-C65</f>
        <v>-0.39</v>
      </c>
      <c r="G66" s="9" t="n">
        <f aca="false">D54</f>
        <v>-0.77</v>
      </c>
      <c r="H66" s="8" t="n">
        <v>0</v>
      </c>
      <c r="I66" s="8" t="n">
        <v>2015</v>
      </c>
      <c r="J66" s="8" t="n">
        <v>2</v>
      </c>
    </row>
    <row r="67" customFormat="false" ht="15" hidden="false" customHeight="false" outlineLevel="0" collapsed="false">
      <c r="A67" s="11" t="n">
        <v>42064</v>
      </c>
      <c r="B67" s="13" t="n">
        <v>0.04</v>
      </c>
      <c r="C67" s="13" t="n">
        <v>2.22</v>
      </c>
      <c r="D67" s="13" t="n">
        <f aca="false">B67-C55</f>
        <v>-3.68</v>
      </c>
      <c r="E67" s="16" t="n">
        <f aca="false">D67^2</f>
        <v>13.5424</v>
      </c>
      <c r="F67" s="13" t="n">
        <f aca="false">C67-C66</f>
        <v>-0.35</v>
      </c>
      <c r="G67" s="13" t="n">
        <f aca="false">D55</f>
        <v>-1.22</v>
      </c>
      <c r="H67" s="12" t="n">
        <v>0</v>
      </c>
      <c r="I67" s="12" t="n">
        <v>2015</v>
      </c>
      <c r="J67" s="12" t="n">
        <v>3</v>
      </c>
    </row>
    <row r="68" customFormat="false" ht="15" hidden="false" customHeight="false" outlineLevel="0" collapsed="false">
      <c r="A68" s="7" t="n">
        <v>42095</v>
      </c>
      <c r="B68" s="9" t="n">
        <v>0.34</v>
      </c>
      <c r="C68" s="9" t="n">
        <v>2.11</v>
      </c>
      <c r="D68" s="9" t="n">
        <f aca="false">B68-C56</f>
        <v>-3.09</v>
      </c>
      <c r="E68" s="15" t="n">
        <f aca="false">D68^2</f>
        <v>9.5481</v>
      </c>
      <c r="F68" s="9" t="n">
        <f aca="false">C68-C67</f>
        <v>-0.11</v>
      </c>
      <c r="G68" s="9" t="n">
        <f aca="false">D56</f>
        <v>-1.42</v>
      </c>
      <c r="H68" s="8" t="n">
        <v>0</v>
      </c>
      <c r="I68" s="8" t="n">
        <v>2015</v>
      </c>
      <c r="J68" s="8" t="n">
        <v>4</v>
      </c>
    </row>
    <row r="69" customFormat="false" ht="15" hidden="false" customHeight="false" outlineLevel="0" collapsed="false">
      <c r="A69" s="11" t="n">
        <v>42125</v>
      </c>
      <c r="B69" s="13" t="n">
        <v>0.46</v>
      </c>
      <c r="C69" s="13" t="n">
        <v>1.89</v>
      </c>
      <c r="D69" s="13" t="n">
        <f aca="false">B69-C57</f>
        <v>-2.8</v>
      </c>
      <c r="E69" s="16" t="n">
        <f aca="false">D69^2</f>
        <v>7.84</v>
      </c>
      <c r="F69" s="13" t="n">
        <f aca="false">C69-C68</f>
        <v>-0.22</v>
      </c>
      <c r="G69" s="13" t="n">
        <f aca="false">D57</f>
        <v>-2.01</v>
      </c>
      <c r="H69" s="12" t="n">
        <v>0</v>
      </c>
      <c r="I69" s="12" t="n">
        <v>2015</v>
      </c>
      <c r="J69" s="12" t="n">
        <v>5</v>
      </c>
    </row>
    <row r="70" customFormat="false" ht="15" hidden="false" customHeight="false" outlineLevel="0" collapsed="false">
      <c r="A70" s="7" t="n">
        <v>42156</v>
      </c>
      <c r="B70" s="9" t="n">
        <v>0.61</v>
      </c>
      <c r="C70" s="9" t="n">
        <v>1.71</v>
      </c>
      <c r="D70" s="9" t="n">
        <f aca="false">B70-C58</f>
        <v>-2.91</v>
      </c>
      <c r="E70" s="15" t="n">
        <f aca="false">D70^2</f>
        <v>8.4681</v>
      </c>
      <c r="F70" s="9" t="n">
        <f aca="false">C70-C69</f>
        <v>-0.18</v>
      </c>
      <c r="G70" s="9" t="n">
        <f aca="false">D58</f>
        <v>-2.19</v>
      </c>
      <c r="H70" s="8" t="n">
        <v>0</v>
      </c>
      <c r="I70" s="8" t="n">
        <v>2015</v>
      </c>
      <c r="J70" s="8" t="n">
        <v>6</v>
      </c>
    </row>
    <row r="71" customFormat="false" ht="15" hidden="false" customHeight="false" outlineLevel="0" collapsed="false">
      <c r="A71" s="11" t="n">
        <v>42186</v>
      </c>
      <c r="B71" s="13" t="n">
        <v>0.2</v>
      </c>
      <c r="C71" s="13" t="n">
        <v>1.68</v>
      </c>
      <c r="D71" s="13" t="n">
        <f aca="false">B71-C59</f>
        <v>-3.06</v>
      </c>
      <c r="E71" s="16" t="n">
        <f aca="false">D71^2</f>
        <v>9.3636</v>
      </c>
      <c r="F71" s="13" t="n">
        <f aca="false">C71-C70</f>
        <v>-0.03</v>
      </c>
      <c r="G71" s="13" t="n">
        <f aca="false">D59</f>
        <v>-1.94</v>
      </c>
      <c r="H71" s="12" t="n">
        <v>0</v>
      </c>
      <c r="I71" s="12" t="n">
        <v>2015</v>
      </c>
      <c r="J71" s="12" t="n">
        <v>7</v>
      </c>
    </row>
    <row r="72" customFormat="false" ht="15" hidden="false" customHeight="false" outlineLevel="0" collapsed="false">
      <c r="A72" s="7" t="n">
        <v>42217</v>
      </c>
      <c r="B72" s="9" t="n">
        <v>0.43</v>
      </c>
      <c r="C72" s="9" t="n">
        <v>1.6</v>
      </c>
      <c r="D72" s="9" t="n">
        <f aca="false">B72-C60</f>
        <v>-2.76</v>
      </c>
      <c r="E72" s="15" t="n">
        <f aca="false">D72^2</f>
        <v>7.6176</v>
      </c>
      <c r="F72" s="9" t="n">
        <f aca="false">C72-C71</f>
        <v>-0.0799999999999999</v>
      </c>
      <c r="G72" s="9" t="n">
        <f aca="false">D60</f>
        <v>-1.93</v>
      </c>
      <c r="H72" s="8" t="n">
        <v>0</v>
      </c>
      <c r="I72" s="8" t="n">
        <v>2015</v>
      </c>
      <c r="J72" s="8" t="n">
        <v>8</v>
      </c>
    </row>
    <row r="73" customFormat="false" ht="15" hidden="false" customHeight="false" outlineLevel="0" collapsed="false">
      <c r="A73" s="11" t="n">
        <v>42248</v>
      </c>
      <c r="B73" s="13" t="n">
        <v>0.54</v>
      </c>
      <c r="C73" s="13" t="n">
        <v>1.64</v>
      </c>
      <c r="D73" s="13" t="n">
        <f aca="false">B73-C61</f>
        <v>-2.79</v>
      </c>
      <c r="E73" s="16" t="n">
        <f aca="false">D73^2</f>
        <v>7.7841</v>
      </c>
      <c r="F73" s="13" t="n">
        <f aca="false">C73-C72</f>
        <v>0.0399999999999998</v>
      </c>
      <c r="G73" s="13" t="n">
        <f aca="false">D61</f>
        <v>-2</v>
      </c>
      <c r="H73" s="12" t="n">
        <v>0</v>
      </c>
      <c r="I73" s="12" t="n">
        <v>2015</v>
      </c>
      <c r="J73" s="12" t="n">
        <v>9</v>
      </c>
    </row>
    <row r="74" customFormat="false" ht="15" hidden="false" customHeight="false" outlineLevel="0" collapsed="false">
      <c r="A74" s="7" t="n">
        <v>42278</v>
      </c>
      <c r="B74" s="9" t="n">
        <v>1.13</v>
      </c>
      <c r="C74" s="9" t="n">
        <v>1.77</v>
      </c>
      <c r="D74" s="9" t="n">
        <f aca="false">B74-C62</f>
        <v>-2.16</v>
      </c>
      <c r="E74" s="15" t="n">
        <f aca="false">D74^2</f>
        <v>4.6656</v>
      </c>
      <c r="F74" s="9" t="n">
        <f aca="false">C74-C73</f>
        <v>0.13</v>
      </c>
      <c r="G74" s="9" t="n">
        <f aca="false">D62</f>
        <v>-2.25</v>
      </c>
      <c r="H74" s="8" t="n">
        <v>0</v>
      </c>
      <c r="I74" s="8" t="n">
        <v>2015</v>
      </c>
      <c r="J74" s="8" t="n">
        <v>10</v>
      </c>
    </row>
    <row r="75" customFormat="false" ht="15" hidden="false" customHeight="false" outlineLevel="0" collapsed="false">
      <c r="A75" s="11" t="n">
        <v>42309</v>
      </c>
      <c r="B75" s="13" t="n">
        <v>1.62</v>
      </c>
      <c r="C75" s="13" t="n">
        <v>1.87</v>
      </c>
      <c r="D75" s="13" t="n">
        <f aca="false">B75-C63</f>
        <v>-1.52</v>
      </c>
      <c r="E75" s="16" t="n">
        <f aca="false">D75^2</f>
        <v>2.3104</v>
      </c>
      <c r="F75" s="13" t="n">
        <f aca="false">C75-C74</f>
        <v>0.1</v>
      </c>
      <c r="G75" s="13" t="n">
        <f aca="false">D63</f>
        <v>-2.02</v>
      </c>
      <c r="H75" s="12" t="n">
        <v>0</v>
      </c>
      <c r="I75" s="12" t="n">
        <v>2015</v>
      </c>
      <c r="J75" s="12" t="n">
        <v>11</v>
      </c>
    </row>
    <row r="76" customFormat="false" ht="15" hidden="false" customHeight="false" outlineLevel="0" collapsed="false">
      <c r="A76" s="7" t="n">
        <v>42339</v>
      </c>
      <c r="B76" s="9" t="n">
        <v>2.34</v>
      </c>
      <c r="C76" s="9" t="n">
        <v>2.01</v>
      </c>
      <c r="D76" s="9" t="n">
        <f aca="false">B76-C64</f>
        <v>-0.72</v>
      </c>
      <c r="E76" s="15" t="n">
        <f aca="false">D76^2</f>
        <v>0.5184</v>
      </c>
      <c r="F76" s="9" t="n">
        <f aca="false">C76-C75</f>
        <v>0.14</v>
      </c>
      <c r="G76" s="9" t="n">
        <f aca="false">D64</f>
        <v>-2.7</v>
      </c>
      <c r="H76" s="8" t="n">
        <v>0</v>
      </c>
      <c r="I76" s="8" t="n">
        <v>2015</v>
      </c>
      <c r="J76" s="8" t="n">
        <v>12</v>
      </c>
    </row>
    <row r="77" customFormat="false" ht="15" hidden="false" customHeight="false" outlineLevel="0" collapsed="false">
      <c r="A77" s="11" t="n">
        <v>42370</v>
      </c>
      <c r="B77" s="13" t="n">
        <v>2.18</v>
      </c>
      <c r="C77" s="13" t="n">
        <v>2.27</v>
      </c>
      <c r="D77" s="13" t="n">
        <f aca="false">B77-C65</f>
        <v>-0.78</v>
      </c>
      <c r="E77" s="16" t="n">
        <f aca="false">D77^2</f>
        <v>0.6084</v>
      </c>
      <c r="F77" s="13" t="n">
        <f aca="false">C77-C76</f>
        <v>0.26</v>
      </c>
      <c r="G77" s="13" t="n">
        <f aca="false">D65</f>
        <v>-3.24</v>
      </c>
      <c r="H77" s="12" t="n">
        <v>0</v>
      </c>
      <c r="I77" s="12" t="n">
        <v>2016</v>
      </c>
      <c r="J77" s="12" t="n">
        <v>1</v>
      </c>
    </row>
    <row r="78" customFormat="false" ht="15" hidden="false" customHeight="false" outlineLevel="0" collapsed="false">
      <c r="A78" s="7" t="n">
        <v>42401</v>
      </c>
      <c r="B78" s="9" t="n">
        <v>2.55</v>
      </c>
      <c r="C78" s="9" t="n">
        <v>2.46</v>
      </c>
      <c r="D78" s="9" t="n">
        <f aca="false">B78-C66</f>
        <v>-0.02</v>
      </c>
      <c r="E78" s="15" t="n">
        <f aca="false">D78^2</f>
        <v>0.000400000000000001</v>
      </c>
      <c r="F78" s="9" t="n">
        <f aca="false">C78-C77</f>
        <v>0.19</v>
      </c>
      <c r="G78" s="9" t="n">
        <f aca="false">D66</f>
        <v>-3.59</v>
      </c>
      <c r="H78" s="8" t="n">
        <v>0</v>
      </c>
      <c r="I78" s="8" t="n">
        <v>2016</v>
      </c>
      <c r="J78" s="8" t="n">
        <v>2</v>
      </c>
    </row>
    <row r="79" customFormat="false" ht="15" hidden="false" customHeight="false" outlineLevel="0" collapsed="false">
      <c r="A79" s="11" t="n">
        <v>42430</v>
      </c>
      <c r="B79" s="13" t="n">
        <v>1.7</v>
      </c>
      <c r="C79" s="13" t="n">
        <v>2.59</v>
      </c>
      <c r="D79" s="13" t="n">
        <f aca="false">B79-C67</f>
        <v>-0.52</v>
      </c>
      <c r="E79" s="16" t="n">
        <f aca="false">D79^2</f>
        <v>0.2704</v>
      </c>
      <c r="F79" s="13" t="n">
        <f aca="false">C79-C78</f>
        <v>0.13</v>
      </c>
      <c r="G79" s="13" t="n">
        <f aca="false">D67</f>
        <v>-3.68</v>
      </c>
      <c r="H79" s="12" t="n">
        <v>0</v>
      </c>
      <c r="I79" s="12" t="n">
        <v>2016</v>
      </c>
      <c r="J79" s="12" t="n">
        <v>3</v>
      </c>
    </row>
    <row r="80" customFormat="false" ht="15" hidden="false" customHeight="false" outlineLevel="0" collapsed="false">
      <c r="A80" s="7" t="n">
        <v>42461</v>
      </c>
      <c r="B80" s="9" t="n">
        <v>1.62</v>
      </c>
      <c r="C80" s="9" t="n">
        <v>2.68</v>
      </c>
      <c r="D80" s="9" t="n">
        <f aca="false">B80-C68</f>
        <v>-0.49</v>
      </c>
      <c r="E80" s="15" t="n">
        <f aca="false">D80^2</f>
        <v>0.2401</v>
      </c>
      <c r="F80" s="9" t="n">
        <f aca="false">C80-C79</f>
        <v>0.0900000000000003</v>
      </c>
      <c r="G80" s="9" t="n">
        <f aca="false">D68</f>
        <v>-3.09</v>
      </c>
      <c r="H80" s="8" t="n">
        <v>0</v>
      </c>
      <c r="I80" s="8" t="n">
        <v>2016</v>
      </c>
      <c r="J80" s="8" t="n">
        <v>4</v>
      </c>
    </row>
    <row r="81" customFormat="false" ht="15" hidden="false" customHeight="false" outlineLevel="0" collapsed="false">
      <c r="A81" s="11" t="n">
        <v>42491</v>
      </c>
      <c r="B81" s="13" t="n">
        <v>1.46</v>
      </c>
      <c r="C81" s="13" t="n">
        <v>2.72</v>
      </c>
      <c r="D81" s="13" t="n">
        <f aca="false">B81-C69</f>
        <v>-0.43</v>
      </c>
      <c r="E81" s="16" t="n">
        <f aca="false">D81^2</f>
        <v>0.1849</v>
      </c>
      <c r="F81" s="13" t="n">
        <f aca="false">C81-C80</f>
        <v>0.04</v>
      </c>
      <c r="G81" s="13" t="n">
        <f aca="false">D69</f>
        <v>-2.8</v>
      </c>
      <c r="H81" s="12" t="n">
        <v>0</v>
      </c>
      <c r="I81" s="12" t="n">
        <v>2016</v>
      </c>
      <c r="J81" s="12" t="n">
        <v>5</v>
      </c>
    </row>
    <row r="82" customFormat="false" ht="15" hidden="false" customHeight="false" outlineLevel="0" collapsed="false">
      <c r="A82" s="7" t="n">
        <v>42522</v>
      </c>
      <c r="B82" s="9" t="n">
        <v>1.62</v>
      </c>
      <c r="C82" s="9" t="n">
        <v>2.68</v>
      </c>
      <c r="D82" s="9" t="n">
        <f aca="false">B82-C70</f>
        <v>-0.0899999999999999</v>
      </c>
      <c r="E82" s="15" t="n">
        <f aca="false">D82^2</f>
        <v>0.00809999999999998</v>
      </c>
      <c r="F82" s="9" t="n">
        <f aca="false">C82-C81</f>
        <v>-0.04</v>
      </c>
      <c r="G82" s="9" t="n">
        <f aca="false">D70</f>
        <v>-2.91</v>
      </c>
      <c r="H82" s="8" t="n">
        <v>0</v>
      </c>
      <c r="I82" s="8" t="n">
        <v>2016</v>
      </c>
      <c r="J82" s="8" t="n">
        <v>6</v>
      </c>
    </row>
    <row r="83" customFormat="false" ht="15" hidden="false" customHeight="false" outlineLevel="0" collapsed="false">
      <c r="A83" s="11" t="n">
        <v>42552</v>
      </c>
      <c r="B83" s="13" t="n">
        <v>1.61</v>
      </c>
      <c r="C83" s="13" t="n">
        <v>2.64</v>
      </c>
      <c r="D83" s="13" t="n">
        <f aca="false">B83-C71</f>
        <v>-0.0699999999999998</v>
      </c>
      <c r="E83" s="16" t="n">
        <f aca="false">D83^2</f>
        <v>0.00489999999999998</v>
      </c>
      <c r="F83" s="13" t="n">
        <f aca="false">C83-C82</f>
        <v>-0.04</v>
      </c>
      <c r="G83" s="13" t="n">
        <f aca="false">D71</f>
        <v>-3.06</v>
      </c>
      <c r="H83" s="12" t="n">
        <v>0</v>
      </c>
      <c r="I83" s="12" t="n">
        <v>2016</v>
      </c>
      <c r="J83" s="12" t="n">
        <v>7</v>
      </c>
    </row>
    <row r="84" customFormat="false" ht="15" hidden="false" customHeight="false" outlineLevel="0" collapsed="false">
      <c r="A84" s="7" t="n">
        <v>42583</v>
      </c>
      <c r="B84" s="9" t="n">
        <v>1.21</v>
      </c>
      <c r="C84" s="9" t="n">
        <v>2.66</v>
      </c>
      <c r="D84" s="9" t="n">
        <f aca="false">B84-C72</f>
        <v>-0.39</v>
      </c>
      <c r="E84" s="15" t="n">
        <f aca="false">D84^2</f>
        <v>0.1521</v>
      </c>
      <c r="F84" s="9" t="n">
        <f aca="false">C84-C83</f>
        <v>0.02</v>
      </c>
      <c r="G84" s="9" t="n">
        <f aca="false">D72</f>
        <v>-2.76</v>
      </c>
      <c r="H84" s="8" t="n">
        <v>0</v>
      </c>
      <c r="I84" s="8" t="n">
        <v>2016</v>
      </c>
      <c r="J84" s="8" t="n">
        <v>8</v>
      </c>
    </row>
    <row r="85" customFormat="false" ht="15" hidden="false" customHeight="false" outlineLevel="0" collapsed="false">
      <c r="A85" s="11" t="n">
        <v>42614</v>
      </c>
      <c r="B85" s="13" t="n">
        <v>1.14</v>
      </c>
      <c r="C85" s="13" t="n">
        <v>2.34</v>
      </c>
      <c r="D85" s="13" t="n">
        <f aca="false">B85-C73</f>
        <v>-0.5</v>
      </c>
      <c r="E85" s="16" t="n">
        <f aca="false">D85^2</f>
        <v>0.25</v>
      </c>
      <c r="F85" s="13" t="n">
        <f aca="false">C85-C84</f>
        <v>-0.32</v>
      </c>
      <c r="G85" s="13" t="n">
        <f aca="false">D73</f>
        <v>-2.79</v>
      </c>
      <c r="H85" s="12" t="n">
        <v>0</v>
      </c>
      <c r="I85" s="12" t="n">
        <v>2016</v>
      </c>
      <c r="J85" s="12" t="n">
        <v>9</v>
      </c>
    </row>
    <row r="86" customFormat="false" ht="15" hidden="false" customHeight="false" outlineLevel="0" collapsed="false">
      <c r="A86" s="7" t="n">
        <v>42644</v>
      </c>
      <c r="B86" s="9" t="n">
        <v>0.96</v>
      </c>
      <c r="C86" s="9" t="n">
        <v>2.3</v>
      </c>
      <c r="D86" s="9" t="n">
        <f aca="false">B86-C74</f>
        <v>-0.81</v>
      </c>
      <c r="E86" s="15" t="n">
        <f aca="false">D86^2</f>
        <v>0.6561</v>
      </c>
      <c r="F86" s="9" t="n">
        <f aca="false">C86-C85</f>
        <v>-0.04</v>
      </c>
      <c r="G86" s="9" t="n">
        <f aca="false">D74</f>
        <v>-2.16</v>
      </c>
      <c r="H86" s="8" t="n">
        <v>0</v>
      </c>
      <c r="I86" s="8" t="n">
        <v>2016</v>
      </c>
      <c r="J86" s="8" t="n">
        <v>10</v>
      </c>
    </row>
    <row r="87" customFormat="false" ht="15" hidden="false" customHeight="false" outlineLevel="0" collapsed="false">
      <c r="A87" s="11" t="n">
        <v>42675</v>
      </c>
      <c r="B87" s="13" t="n">
        <v>1.34</v>
      </c>
      <c r="C87" s="13" t="n">
        <v>2.52</v>
      </c>
      <c r="D87" s="13" t="n">
        <f aca="false">B87-C75</f>
        <v>-0.53</v>
      </c>
      <c r="E87" s="16" t="n">
        <f aca="false">D87^2</f>
        <v>0.2809</v>
      </c>
      <c r="F87" s="13" t="n">
        <f aca="false">C87-C86</f>
        <v>0.22</v>
      </c>
      <c r="G87" s="13" t="n">
        <f aca="false">D75</f>
        <v>-1.52</v>
      </c>
      <c r="H87" s="12" t="n">
        <v>0</v>
      </c>
      <c r="I87" s="12" t="n">
        <v>2016</v>
      </c>
      <c r="J87" s="12" t="n">
        <v>11</v>
      </c>
    </row>
    <row r="88" customFormat="false" ht="15" hidden="false" customHeight="false" outlineLevel="0" collapsed="false">
      <c r="A88" s="7" t="n">
        <v>42705</v>
      </c>
      <c r="B88" s="9" t="n">
        <v>1.7</v>
      </c>
      <c r="C88" s="9" t="n">
        <v>2.3</v>
      </c>
      <c r="D88" s="9" t="n">
        <f aca="false">B88-C76</f>
        <v>-0.31</v>
      </c>
      <c r="E88" s="15" t="n">
        <f aca="false">D88^2</f>
        <v>0.0960999999999999</v>
      </c>
      <c r="F88" s="9" t="n">
        <f aca="false">C88-C87</f>
        <v>-0.22</v>
      </c>
      <c r="G88" s="9" t="n">
        <f aca="false">D76</f>
        <v>-0.72</v>
      </c>
      <c r="H88" s="8" t="n">
        <v>0</v>
      </c>
      <c r="I88" s="8" t="n">
        <v>2016</v>
      </c>
      <c r="J88" s="8" t="n">
        <v>12</v>
      </c>
    </row>
    <row r="89" customFormat="false" ht="15" hidden="false" customHeight="false" outlineLevel="0" collapsed="false">
      <c r="A89" s="11" t="n">
        <v>42736</v>
      </c>
      <c r="B89" s="13" t="n">
        <v>2.33</v>
      </c>
      <c r="C89" s="13" t="n">
        <v>2.46</v>
      </c>
      <c r="D89" s="13" t="n">
        <f aca="false">B89-C77</f>
        <v>0.0600000000000001</v>
      </c>
      <c r="E89" s="16" t="n">
        <f aca="false">D89^2</f>
        <v>0.00360000000000001</v>
      </c>
      <c r="F89" s="13" t="n">
        <f aca="false">C89-C88</f>
        <v>0.16</v>
      </c>
      <c r="G89" s="13" t="n">
        <f aca="false">D77</f>
        <v>-0.78</v>
      </c>
      <c r="H89" s="12" t="n">
        <v>0</v>
      </c>
      <c r="I89" s="12" t="n">
        <v>2017</v>
      </c>
      <c r="J89" s="12" t="n">
        <v>1</v>
      </c>
    </row>
    <row r="90" customFormat="false" ht="15" hidden="false" customHeight="false" outlineLevel="0" collapsed="false">
      <c r="A90" s="7" t="n">
        <v>42767</v>
      </c>
      <c r="B90" s="9" t="n">
        <v>3.2</v>
      </c>
      <c r="C90" s="9" t="n">
        <v>2.71</v>
      </c>
      <c r="D90" s="9" t="n">
        <f aca="false">B90-C78</f>
        <v>0.74</v>
      </c>
      <c r="E90" s="15" t="n">
        <f aca="false">D90^2</f>
        <v>0.5476</v>
      </c>
      <c r="F90" s="9" t="n">
        <f aca="false">C90-C89</f>
        <v>0.25</v>
      </c>
      <c r="G90" s="9" t="n">
        <f aca="false">D78</f>
        <v>-0.02</v>
      </c>
      <c r="H90" s="8" t="n">
        <v>0</v>
      </c>
      <c r="I90" s="8" t="n">
        <v>2017</v>
      </c>
      <c r="J90" s="8" t="n">
        <v>2</v>
      </c>
    </row>
    <row r="91" customFormat="false" ht="15" hidden="false" customHeight="false" outlineLevel="0" collapsed="false">
      <c r="A91" s="11" t="n">
        <v>42795</v>
      </c>
      <c r="B91" s="13" t="n">
        <v>3.25</v>
      </c>
      <c r="C91" s="13" t="n">
        <v>2.75</v>
      </c>
      <c r="D91" s="13" t="n">
        <f aca="false">B91-C79</f>
        <v>0.66</v>
      </c>
      <c r="E91" s="16" t="n">
        <f aca="false">D91^2</f>
        <v>0.4356</v>
      </c>
      <c r="F91" s="13" t="n">
        <f aca="false">C91-C90</f>
        <v>0.04</v>
      </c>
      <c r="G91" s="13" t="n">
        <f aca="false">D79</f>
        <v>-0.52</v>
      </c>
      <c r="H91" s="12" t="n">
        <v>0</v>
      </c>
      <c r="I91" s="12" t="n">
        <v>2017</v>
      </c>
      <c r="J91" s="12" t="n">
        <v>3</v>
      </c>
    </row>
    <row r="92" customFormat="false" ht="15" hidden="false" customHeight="false" outlineLevel="0" collapsed="false">
      <c r="A92" s="7" t="n">
        <v>42826</v>
      </c>
      <c r="B92" s="9" t="n">
        <v>3.05</v>
      </c>
      <c r="C92" s="9" t="n">
        <v>3.12</v>
      </c>
      <c r="D92" s="9" t="n">
        <f aca="false">B92-C80</f>
        <v>0.37</v>
      </c>
      <c r="E92" s="15" t="n">
        <f aca="false">D92^2</f>
        <v>0.1369</v>
      </c>
      <c r="F92" s="9" t="n">
        <f aca="false">C92-C91</f>
        <v>0.37</v>
      </c>
      <c r="G92" s="9" t="n">
        <f aca="false">D80</f>
        <v>-0.49</v>
      </c>
      <c r="H92" s="8" t="n">
        <v>0</v>
      </c>
      <c r="I92" s="8" t="n">
        <v>2017</v>
      </c>
      <c r="J92" s="8" t="n">
        <v>4</v>
      </c>
    </row>
    <row r="93" customFormat="false" ht="15" hidden="false" customHeight="false" outlineLevel="0" collapsed="false">
      <c r="A93" s="11" t="n">
        <v>42856</v>
      </c>
      <c r="B93" s="13" t="n">
        <v>3.21</v>
      </c>
      <c r="C93" s="13" t="n">
        <v>3.22</v>
      </c>
      <c r="D93" s="13" t="n">
        <f aca="false">B93-C81</f>
        <v>0.49</v>
      </c>
      <c r="E93" s="16" t="n">
        <f aca="false">D93^2</f>
        <v>0.2401</v>
      </c>
      <c r="F93" s="13" t="n">
        <f aca="false">C93-C92</f>
        <v>0.1</v>
      </c>
      <c r="G93" s="13" t="n">
        <f aca="false">D81</f>
        <v>-0.43</v>
      </c>
      <c r="H93" s="12" t="n">
        <v>0</v>
      </c>
      <c r="I93" s="12" t="n">
        <v>2017</v>
      </c>
      <c r="J93" s="12" t="n">
        <v>5</v>
      </c>
    </row>
    <row r="94" customFormat="false" ht="15" hidden="false" customHeight="false" outlineLevel="0" collapsed="false">
      <c r="A94" s="7" t="n">
        <v>42887</v>
      </c>
      <c r="B94" s="9" t="n">
        <v>3.11</v>
      </c>
      <c r="C94" s="9" t="n">
        <v>3.12</v>
      </c>
      <c r="D94" s="9" t="n">
        <f aca="false">B94-C82</f>
        <v>0.43</v>
      </c>
      <c r="E94" s="15" t="n">
        <f aca="false">D94^2</f>
        <v>0.1849</v>
      </c>
      <c r="F94" s="9" t="n">
        <f aca="false">C94-C93</f>
        <v>-0.1</v>
      </c>
      <c r="G94" s="9" t="n">
        <f aca="false">D82</f>
        <v>-0.0899999999999999</v>
      </c>
      <c r="H94" s="8" t="n">
        <v>0</v>
      </c>
      <c r="I94" s="8" t="n">
        <v>2017</v>
      </c>
      <c r="J94" s="8" t="n">
        <v>6</v>
      </c>
    </row>
    <row r="95" customFormat="false" ht="15" hidden="false" customHeight="false" outlineLevel="0" collapsed="false">
      <c r="A95" s="11" t="n">
        <v>42917</v>
      </c>
      <c r="B95" s="13" t="n">
        <v>3.41</v>
      </c>
      <c r="C95" s="13" t="n">
        <v>3.28</v>
      </c>
      <c r="D95" s="13" t="n">
        <f aca="false">B95-C83</f>
        <v>0.77</v>
      </c>
      <c r="E95" s="16" t="n">
        <f aca="false">D95^2</f>
        <v>0.5929</v>
      </c>
      <c r="F95" s="13" t="n">
        <f aca="false">C95-C94</f>
        <v>0.16</v>
      </c>
      <c r="G95" s="13" t="n">
        <f aca="false">D83</f>
        <v>-0.0699999999999998</v>
      </c>
      <c r="H95" s="12" t="n">
        <v>0</v>
      </c>
      <c r="I95" s="12" t="n">
        <v>2017</v>
      </c>
      <c r="J95" s="12" t="n">
        <v>7</v>
      </c>
    </row>
    <row r="96" customFormat="false" ht="15" hidden="false" customHeight="false" outlineLevel="0" collapsed="false">
      <c r="A96" s="7" t="n">
        <v>42948</v>
      </c>
      <c r="B96" s="9" t="n">
        <v>3.66</v>
      </c>
      <c r="C96" s="9" t="n">
        <v>3.49</v>
      </c>
      <c r="D96" s="9" t="n">
        <f aca="false">B96-C84</f>
        <v>1</v>
      </c>
      <c r="E96" s="15" t="n">
        <f aca="false">D96^2</f>
        <v>1</v>
      </c>
      <c r="F96" s="9" t="n">
        <f aca="false">C96-C95</f>
        <v>0.21</v>
      </c>
      <c r="G96" s="9" t="n">
        <f aca="false">D84</f>
        <v>-0.39</v>
      </c>
      <c r="H96" s="8" t="n">
        <v>0</v>
      </c>
      <c r="I96" s="8" t="n">
        <v>2017</v>
      </c>
      <c r="J96" s="8" t="n">
        <v>8</v>
      </c>
    </row>
    <row r="97" customFormat="false" ht="15" hidden="false" customHeight="false" outlineLevel="0" collapsed="false">
      <c r="A97" s="11" t="n">
        <v>42979</v>
      </c>
      <c r="B97" s="13" t="n">
        <v>4.06</v>
      </c>
      <c r="C97" s="13" t="n">
        <v>3.63</v>
      </c>
      <c r="D97" s="13" t="n">
        <f aca="false">B97-C85</f>
        <v>1.72</v>
      </c>
      <c r="E97" s="16" t="n">
        <f aca="false">D97^2</f>
        <v>2.9584</v>
      </c>
      <c r="F97" s="13" t="n">
        <f aca="false">C97-C96</f>
        <v>0.14</v>
      </c>
      <c r="G97" s="13" t="n">
        <f aca="false">D85</f>
        <v>-0.5</v>
      </c>
      <c r="H97" s="12" t="n">
        <v>0</v>
      </c>
      <c r="I97" s="12" t="n">
        <v>2017</v>
      </c>
      <c r="J97" s="12" t="n">
        <v>9</v>
      </c>
    </row>
    <row r="98" customFormat="false" ht="15" hidden="false" customHeight="false" outlineLevel="0" collapsed="false">
      <c r="A98" s="7" t="n">
        <v>43009</v>
      </c>
      <c r="B98" s="9" t="n">
        <v>4.27</v>
      </c>
      <c r="C98" s="9" t="n">
        <v>3.8</v>
      </c>
      <c r="D98" s="9" t="n">
        <f aca="false">B98-C86</f>
        <v>1.97</v>
      </c>
      <c r="E98" s="15" t="n">
        <f aca="false">D98^2</f>
        <v>3.8809</v>
      </c>
      <c r="F98" s="9" t="n">
        <f aca="false">C98-C97</f>
        <v>0.17</v>
      </c>
      <c r="G98" s="9" t="n">
        <f aca="false">D86</f>
        <v>-0.81</v>
      </c>
      <c r="H98" s="8" t="n">
        <v>0</v>
      </c>
      <c r="I98" s="8" t="n">
        <v>2017</v>
      </c>
      <c r="J98" s="8" t="n">
        <v>10</v>
      </c>
    </row>
    <row r="99" customFormat="false" ht="15" hidden="false" customHeight="false" outlineLevel="0" collapsed="false">
      <c r="A99" s="11" t="n">
        <v>43040</v>
      </c>
      <c r="B99" s="13" t="n">
        <v>4.18</v>
      </c>
      <c r="C99" s="13" t="n">
        <v>4.05</v>
      </c>
      <c r="D99" s="13" t="n">
        <f aca="false">B99-C87</f>
        <v>1.66</v>
      </c>
      <c r="E99" s="16" t="n">
        <f aca="false">D99^2</f>
        <v>2.7556</v>
      </c>
      <c r="F99" s="13" t="n">
        <f aca="false">C99-C98</f>
        <v>0.25</v>
      </c>
      <c r="G99" s="13" t="n">
        <f aca="false">D87</f>
        <v>-0.53</v>
      </c>
      <c r="H99" s="12" t="n">
        <v>0</v>
      </c>
      <c r="I99" s="12" t="n">
        <v>2017</v>
      </c>
      <c r="J99" s="12" t="n">
        <v>11</v>
      </c>
    </row>
    <row r="100" customFormat="false" ht="15" hidden="false" customHeight="false" outlineLevel="0" collapsed="false">
      <c r="A100" s="7" t="n">
        <v>43070</v>
      </c>
      <c r="B100" s="9" t="n">
        <v>4.2</v>
      </c>
      <c r="C100" s="9" t="n">
        <v>4.01</v>
      </c>
      <c r="D100" s="9" t="n">
        <f aca="false">B100-C88</f>
        <v>1.9</v>
      </c>
      <c r="E100" s="15" t="n">
        <f aca="false">D100^2</f>
        <v>3.61</v>
      </c>
      <c r="F100" s="9" t="n">
        <f aca="false">C100-C99</f>
        <v>-0.04</v>
      </c>
      <c r="G100" s="9" t="n">
        <f aca="false">D88</f>
        <v>-0.31</v>
      </c>
      <c r="H100" s="8" t="n">
        <v>0</v>
      </c>
      <c r="I100" s="8" t="n">
        <v>2017</v>
      </c>
      <c r="J100" s="8" t="n">
        <v>12</v>
      </c>
    </row>
    <row r="101" customFormat="false" ht="15" hidden="false" customHeight="false" outlineLevel="0" collapsed="false">
      <c r="A101" s="11" t="n">
        <v>43101</v>
      </c>
      <c r="B101" s="13" t="n">
        <v>4.37</v>
      </c>
      <c r="C101" s="13" t="n">
        <v>3.83</v>
      </c>
      <c r="D101" s="13" t="n">
        <f aca="false">B101-C89</f>
        <v>1.91</v>
      </c>
      <c r="E101" s="16" t="n">
        <f aca="false">D101^2</f>
        <v>3.6481</v>
      </c>
      <c r="F101" s="13" t="n">
        <f aca="false">C101-C100</f>
        <v>-0.18</v>
      </c>
      <c r="G101" s="13" t="n">
        <f aca="false">D89</f>
        <v>0.0600000000000001</v>
      </c>
      <c r="H101" s="12" t="n">
        <v>0</v>
      </c>
      <c r="I101" s="12" t="n">
        <v>2018</v>
      </c>
      <c r="J101" s="12" t="n">
        <v>1</v>
      </c>
    </row>
    <row r="102" customFormat="false" ht="15" hidden="false" customHeight="false" outlineLevel="0" collapsed="false">
      <c r="A102" s="7" t="n">
        <v>43132</v>
      </c>
      <c r="B102" s="9" t="n">
        <v>3.93</v>
      </c>
      <c r="C102" s="9" t="n">
        <v>4.01</v>
      </c>
      <c r="D102" s="9" t="n">
        <f aca="false">B102-C90</f>
        <v>1.22</v>
      </c>
      <c r="E102" s="15" t="n">
        <f aca="false">D102^2</f>
        <v>1.4884</v>
      </c>
      <c r="F102" s="9" t="n">
        <f aca="false">C102-C101</f>
        <v>0.18</v>
      </c>
      <c r="G102" s="9" t="n">
        <f aca="false">D90</f>
        <v>0.74</v>
      </c>
      <c r="H102" s="8" t="n">
        <v>0</v>
      </c>
      <c r="I102" s="8" t="n">
        <v>2018</v>
      </c>
      <c r="J102" s="8" t="n">
        <v>2</v>
      </c>
    </row>
    <row r="103" customFormat="false" ht="15" hidden="false" customHeight="false" outlineLevel="0" collapsed="false">
      <c r="A103" s="11" t="n">
        <v>43160</v>
      </c>
      <c r="B103" s="13" t="n">
        <v>3.91</v>
      </c>
      <c r="C103" s="13" t="n">
        <v>4.13</v>
      </c>
      <c r="D103" s="13" t="n">
        <f aca="false">B103-C91</f>
        <v>1.16</v>
      </c>
      <c r="E103" s="16" t="n">
        <f aca="false">D103^2</f>
        <v>1.3456</v>
      </c>
      <c r="F103" s="13" t="n">
        <f aca="false">C103-C102</f>
        <v>0.12</v>
      </c>
      <c r="G103" s="13" t="n">
        <f aca="false">D91</f>
        <v>0.66</v>
      </c>
      <c r="H103" s="12" t="n">
        <v>0</v>
      </c>
      <c r="I103" s="12" t="n">
        <v>2018</v>
      </c>
      <c r="J103" s="12" t="n">
        <v>3</v>
      </c>
    </row>
    <row r="104" customFormat="false" ht="15" hidden="false" customHeight="false" outlineLevel="0" collapsed="false">
      <c r="A104" s="7" t="n">
        <v>43191</v>
      </c>
      <c r="B104" s="9" t="n">
        <v>3.62</v>
      </c>
      <c r="C104" s="9" t="n">
        <v>4.05</v>
      </c>
      <c r="D104" s="9" t="n">
        <f aca="false">B104-C92</f>
        <v>0.5</v>
      </c>
      <c r="E104" s="15" t="n">
        <f aca="false">D104^2</f>
        <v>0.25</v>
      </c>
      <c r="F104" s="9" t="n">
        <f aca="false">C104-C103</f>
        <v>-0.0800000000000001</v>
      </c>
      <c r="G104" s="9" t="n">
        <f aca="false">D92</f>
        <v>0.37</v>
      </c>
      <c r="H104" s="8" t="n">
        <v>0</v>
      </c>
      <c r="I104" s="8" t="n">
        <v>2018</v>
      </c>
      <c r="J104" s="8" t="n">
        <v>4</v>
      </c>
    </row>
    <row r="105" customFormat="false" ht="15" hidden="false" customHeight="false" outlineLevel="0" collapsed="false">
      <c r="A105" s="11" t="n">
        <v>43221</v>
      </c>
      <c r="B105" s="13" t="n">
        <v>4.14</v>
      </c>
      <c r="C105" s="13" t="n">
        <v>3.88</v>
      </c>
      <c r="D105" s="13" t="n">
        <f aca="false">B105-C93</f>
        <v>0.92</v>
      </c>
      <c r="E105" s="16" t="n">
        <f aca="false">D105^2</f>
        <v>0.846399999999999</v>
      </c>
      <c r="F105" s="13" t="n">
        <f aca="false">C105-C104</f>
        <v>-0.17</v>
      </c>
      <c r="G105" s="13" t="n">
        <f aca="false">D93</f>
        <v>0.49</v>
      </c>
      <c r="H105" s="12" t="n">
        <v>0</v>
      </c>
      <c r="I105" s="12" t="n">
        <v>2018</v>
      </c>
      <c r="J105" s="12" t="n">
        <v>5</v>
      </c>
    </row>
    <row r="106" customFormat="false" ht="15" hidden="false" customHeight="false" outlineLevel="0" collapsed="false">
      <c r="A106" s="7" t="n">
        <v>43252</v>
      </c>
      <c r="B106" s="9" t="n">
        <v>4.62</v>
      </c>
      <c r="C106" s="9" t="n">
        <v>3.97</v>
      </c>
      <c r="D106" s="9" t="n">
        <f aca="false">B106-C94</f>
        <v>1.5</v>
      </c>
      <c r="E106" s="15" t="n">
        <f aca="false">D106^2</f>
        <v>2.25</v>
      </c>
      <c r="F106" s="9" t="n">
        <f aca="false">C106-C105</f>
        <v>0.0900000000000003</v>
      </c>
      <c r="G106" s="9" t="n">
        <f aca="false">D94</f>
        <v>0.43</v>
      </c>
      <c r="H106" s="8" t="n">
        <v>0</v>
      </c>
      <c r="I106" s="8" t="n">
        <v>2018</v>
      </c>
      <c r="J106" s="8" t="n">
        <v>6</v>
      </c>
    </row>
    <row r="107" customFormat="false" ht="15" hidden="false" customHeight="false" outlineLevel="0" collapsed="false">
      <c r="A107" s="11" t="n">
        <v>43282</v>
      </c>
      <c r="B107" s="13" t="n">
        <v>4.43</v>
      </c>
      <c r="C107" s="13" t="n">
        <v>4.2</v>
      </c>
      <c r="D107" s="13" t="n">
        <f aca="false">B107-C95</f>
        <v>1.15</v>
      </c>
      <c r="E107" s="16" t="n">
        <f aca="false">D107^2</f>
        <v>1.3225</v>
      </c>
      <c r="F107" s="13" t="n">
        <f aca="false">C107-C106</f>
        <v>0.23</v>
      </c>
      <c r="G107" s="13" t="n">
        <f aca="false">D95</f>
        <v>0.77</v>
      </c>
      <c r="H107" s="12" t="n">
        <v>0</v>
      </c>
      <c r="I107" s="12" t="n">
        <v>2018</v>
      </c>
      <c r="J107" s="12" t="n">
        <v>7</v>
      </c>
    </row>
    <row r="108" customFormat="false" ht="15" hidden="false" customHeight="false" outlineLevel="0" collapsed="false">
      <c r="A108" s="7" t="n">
        <v>43313</v>
      </c>
      <c r="B108" s="9" t="n">
        <v>4.04</v>
      </c>
      <c r="C108" s="9" t="n">
        <v>4.11</v>
      </c>
      <c r="D108" s="9" t="n">
        <f aca="false">B108-C96</f>
        <v>0.55</v>
      </c>
      <c r="E108" s="15" t="n">
        <f aca="false">D108^2</f>
        <v>0.3025</v>
      </c>
      <c r="F108" s="9" t="n">
        <f aca="false">C108-C107</f>
        <v>-0.0899999999999999</v>
      </c>
      <c r="G108" s="9" t="n">
        <f aca="false">D96</f>
        <v>1</v>
      </c>
      <c r="H108" s="8" t="n">
        <v>0</v>
      </c>
      <c r="I108" s="8" t="n">
        <v>2018</v>
      </c>
      <c r="J108" s="8" t="n">
        <v>8</v>
      </c>
    </row>
    <row r="109" customFormat="false" ht="15" hidden="false" customHeight="false" outlineLevel="0" collapsed="false">
      <c r="A109" s="11" t="n">
        <v>43344</v>
      </c>
      <c r="B109" s="13" t="n">
        <v>3.32</v>
      </c>
      <c r="C109" s="13" t="n">
        <v>4.29</v>
      </c>
      <c r="D109" s="13" t="n">
        <f aca="false">B109-C97</f>
        <v>-0.31</v>
      </c>
      <c r="E109" s="16" t="n">
        <f aca="false">D109^2</f>
        <v>0.0961</v>
      </c>
      <c r="F109" s="13" t="n">
        <f aca="false">C109-C108</f>
        <v>0.18</v>
      </c>
      <c r="G109" s="13" t="n">
        <f aca="false">D97</f>
        <v>1.72</v>
      </c>
      <c r="H109" s="12" t="n">
        <v>0</v>
      </c>
      <c r="I109" s="12" t="n">
        <v>2018</v>
      </c>
      <c r="J109" s="12" t="n">
        <v>9</v>
      </c>
    </row>
    <row r="110" customFormat="false" ht="15" hidden="false" customHeight="false" outlineLevel="0" collapsed="false">
      <c r="A110" s="7" t="n">
        <v>43374</v>
      </c>
      <c r="B110" s="9" t="n">
        <v>3.06</v>
      </c>
      <c r="C110" s="9" t="n">
        <v>4.14</v>
      </c>
      <c r="D110" s="9" t="n">
        <f aca="false">B110-C98</f>
        <v>-0.74</v>
      </c>
      <c r="E110" s="15" t="n">
        <f aca="false">D110^2</f>
        <v>0.5476</v>
      </c>
      <c r="F110" s="9" t="n">
        <f aca="false">C110-C109</f>
        <v>-0.15</v>
      </c>
      <c r="G110" s="9" t="n">
        <f aca="false">D98</f>
        <v>1.97</v>
      </c>
      <c r="H110" s="8" t="n">
        <v>0</v>
      </c>
      <c r="I110" s="8" t="n">
        <v>2018</v>
      </c>
      <c r="J110" s="8" t="n">
        <v>10</v>
      </c>
    </row>
    <row r="111" customFormat="false" ht="15" hidden="false" customHeight="false" outlineLevel="0" collapsed="false">
      <c r="A111" s="11" t="n">
        <v>43405</v>
      </c>
      <c r="B111" s="13" t="n">
        <v>1.55</v>
      </c>
      <c r="C111" s="13" t="n">
        <v>3.8</v>
      </c>
      <c r="D111" s="13" t="n">
        <f aca="false">B111-C99</f>
        <v>-2.5</v>
      </c>
      <c r="E111" s="16" t="n">
        <f aca="false">D111^2</f>
        <v>6.25</v>
      </c>
      <c r="F111" s="13" t="n">
        <f aca="false">C111-C110</f>
        <v>-0.34</v>
      </c>
      <c r="G111" s="13" t="n">
        <f aca="false">D99</f>
        <v>1.66</v>
      </c>
      <c r="H111" s="12" t="n">
        <v>0</v>
      </c>
      <c r="I111" s="12" t="n">
        <v>2018</v>
      </c>
      <c r="J111" s="12" t="n">
        <v>11</v>
      </c>
    </row>
    <row r="112" customFormat="false" ht="15" hidden="false" customHeight="false" outlineLevel="0" collapsed="false">
      <c r="A112" s="7" t="n">
        <v>43435</v>
      </c>
      <c r="B112" s="9" t="n">
        <v>1.17</v>
      </c>
      <c r="C112" s="9" t="n">
        <v>3.54</v>
      </c>
      <c r="D112" s="9" t="n">
        <f aca="false">B112-C100</f>
        <v>-2.84</v>
      </c>
      <c r="E112" s="15" t="n">
        <f aca="false">D112^2</f>
        <v>8.0656</v>
      </c>
      <c r="F112" s="9" t="n">
        <f aca="false">C112-C111</f>
        <v>-0.26</v>
      </c>
      <c r="G112" s="9" t="n">
        <f aca="false">D100</f>
        <v>1.9</v>
      </c>
      <c r="H112" s="8" t="n">
        <v>0</v>
      </c>
      <c r="I112" s="8" t="n">
        <v>2018</v>
      </c>
      <c r="J112" s="8" t="n">
        <v>12</v>
      </c>
    </row>
    <row r="113" customFormat="false" ht="15" hidden="false" customHeight="false" outlineLevel="0" collapsed="false">
      <c r="A113" s="11" t="n">
        <v>43466</v>
      </c>
      <c r="B113" s="13" t="n">
        <v>1.2</v>
      </c>
      <c r="C113" s="13" t="n">
        <v>2.99</v>
      </c>
      <c r="D113" s="13" t="n">
        <f aca="false">B113-C101</f>
        <v>-2.63</v>
      </c>
      <c r="E113" s="16" t="n">
        <f aca="false">D113^2</f>
        <v>6.9169</v>
      </c>
      <c r="F113" s="13" t="n">
        <f aca="false">C113-C112</f>
        <v>-0.55</v>
      </c>
      <c r="G113" s="13" t="n">
        <f aca="false">D101</f>
        <v>1.91</v>
      </c>
      <c r="H113" s="12" t="n">
        <v>0</v>
      </c>
      <c r="I113" s="12" t="n">
        <v>2019</v>
      </c>
      <c r="J113" s="12" t="n">
        <v>1</v>
      </c>
    </row>
    <row r="114" customFormat="false" ht="15" hidden="false" customHeight="false" outlineLevel="0" collapsed="false">
      <c r="A114" s="7" t="n">
        <v>43497</v>
      </c>
      <c r="B114" s="9" t="n">
        <v>1.1</v>
      </c>
      <c r="C114" s="9" t="n">
        <v>2.59</v>
      </c>
      <c r="D114" s="9" t="n">
        <f aca="false">B114-C102</f>
        <v>-2.91</v>
      </c>
      <c r="E114" s="15" t="n">
        <f aca="false">D114^2</f>
        <v>8.4681</v>
      </c>
      <c r="F114" s="9" t="n">
        <f aca="false">C114-C113</f>
        <v>-0.4</v>
      </c>
      <c r="G114" s="9" t="n">
        <f aca="false">D102</f>
        <v>1.22</v>
      </c>
      <c r="H114" s="8" t="n">
        <v>0</v>
      </c>
      <c r="I114" s="8" t="n">
        <v>2019</v>
      </c>
      <c r="J114" s="8" t="n">
        <v>2</v>
      </c>
    </row>
    <row r="115" customFormat="false" ht="15" hidden="false" customHeight="false" outlineLevel="0" collapsed="false">
      <c r="A115" s="11" t="n">
        <v>43525</v>
      </c>
      <c r="B115" s="13" t="n">
        <v>1.4</v>
      </c>
      <c r="C115" s="13" t="n">
        <v>2.52</v>
      </c>
      <c r="D115" s="13" t="n">
        <f aca="false">B115-C103</f>
        <v>-2.73</v>
      </c>
      <c r="E115" s="16" t="n">
        <f aca="false">D115^2</f>
        <v>7.4529</v>
      </c>
      <c r="F115" s="13" t="n">
        <f aca="false">C115-C114</f>
        <v>-0.0699999999999998</v>
      </c>
      <c r="G115" s="13" t="n">
        <f aca="false">D103</f>
        <v>1.16</v>
      </c>
      <c r="H115" s="12" t="n">
        <v>0</v>
      </c>
      <c r="I115" s="12" t="n">
        <v>2019</v>
      </c>
      <c r="J115" s="12" t="n">
        <v>3</v>
      </c>
    </row>
    <row r="116" customFormat="false" ht="15" hidden="false" customHeight="false" outlineLevel="0" collapsed="false">
      <c r="A116" s="7" t="n">
        <v>43556</v>
      </c>
      <c r="B116" s="9" t="n">
        <v>1.46</v>
      </c>
      <c r="C116" s="9" t="n">
        <v>2.38</v>
      </c>
      <c r="D116" s="9" t="n">
        <f aca="false">B116-C104</f>
        <v>-2.59</v>
      </c>
      <c r="E116" s="15" t="n">
        <f aca="false">D116^2</f>
        <v>6.7081</v>
      </c>
      <c r="F116" s="9" t="n">
        <f aca="false">C116-C115</f>
        <v>-0.14</v>
      </c>
      <c r="G116" s="9" t="n">
        <f aca="false">D104</f>
        <v>0.5</v>
      </c>
      <c r="H116" s="8" t="n">
        <v>0</v>
      </c>
      <c r="I116" s="8" t="n">
        <v>2019</v>
      </c>
      <c r="J116" s="8" t="n">
        <v>4</v>
      </c>
    </row>
    <row r="117" customFormat="false" ht="15" hidden="false" customHeight="false" outlineLevel="0" collapsed="false">
      <c r="A117" s="11" t="n">
        <v>43586</v>
      </c>
      <c r="B117" s="13" t="n">
        <v>1.48</v>
      </c>
      <c r="C117" s="13" t="n">
        <v>2.14</v>
      </c>
      <c r="D117" s="13" t="n">
        <f aca="false">B117-C105</f>
        <v>-2.4</v>
      </c>
      <c r="E117" s="16" t="n">
        <f aca="false">D117^2</f>
        <v>5.76</v>
      </c>
      <c r="F117" s="13" t="n">
        <f aca="false">C117-C116</f>
        <v>-0.24</v>
      </c>
      <c r="G117" s="13" t="n">
        <f aca="false">D105</f>
        <v>0.92</v>
      </c>
      <c r="H117" s="12" t="n">
        <v>0</v>
      </c>
      <c r="I117" s="12" t="n">
        <v>2019</v>
      </c>
      <c r="J117" s="12" t="n">
        <v>5</v>
      </c>
    </row>
    <row r="118" customFormat="false" ht="15" hidden="false" customHeight="false" outlineLevel="0" collapsed="false">
      <c r="A118" s="7" t="n">
        <v>43617</v>
      </c>
      <c r="B118" s="9" t="n">
        <v>1.18</v>
      </c>
      <c r="C118" s="9" t="n">
        <v>2.16</v>
      </c>
      <c r="D118" s="9" t="n">
        <f aca="false">B118-C106</f>
        <v>-2.79</v>
      </c>
      <c r="E118" s="15" t="n">
        <f aca="false">D118^2</f>
        <v>7.7841</v>
      </c>
      <c r="F118" s="9" t="n">
        <f aca="false">C118-C117</f>
        <v>0.02</v>
      </c>
      <c r="G118" s="9" t="n">
        <f aca="false">D106</f>
        <v>1.5</v>
      </c>
      <c r="H118" s="8" t="n">
        <v>0</v>
      </c>
      <c r="I118" s="8" t="n">
        <v>2019</v>
      </c>
      <c r="J118" s="8" t="n">
        <v>6</v>
      </c>
    </row>
    <row r="119" customFormat="false" ht="15" hidden="false" customHeight="false" outlineLevel="0" collapsed="false">
      <c r="A119" s="11" t="n">
        <v>43647</v>
      </c>
      <c r="B119" s="13" t="n">
        <v>1.13</v>
      </c>
      <c r="C119" s="13" t="n">
        <v>2.25</v>
      </c>
      <c r="D119" s="13" t="n">
        <f aca="false">B119-C107</f>
        <v>-3.07</v>
      </c>
      <c r="E119" s="16" t="n">
        <f aca="false">D119^2</f>
        <v>9.4249</v>
      </c>
      <c r="F119" s="13" t="n">
        <f aca="false">C119-C118</f>
        <v>0.0899999999999999</v>
      </c>
      <c r="G119" s="13" t="n">
        <f aca="false">D107</f>
        <v>1.15</v>
      </c>
      <c r="H119" s="12" t="n">
        <v>0</v>
      </c>
      <c r="I119" s="12" t="n">
        <v>2019</v>
      </c>
      <c r="J119" s="12" t="n">
        <v>7</v>
      </c>
    </row>
    <row r="120" customFormat="false" ht="15" hidden="false" customHeight="false" outlineLevel="0" collapsed="false">
      <c r="A120" s="7" t="n">
        <v>43678</v>
      </c>
      <c r="B120" s="9" t="n">
        <v>1.25</v>
      </c>
      <c r="C120" s="9" t="n">
        <v>2.41</v>
      </c>
      <c r="D120" s="9" t="n">
        <f aca="false">B120-C108</f>
        <v>-2.86</v>
      </c>
      <c r="E120" s="15" t="n">
        <f aca="false">D120^2</f>
        <v>8.1796</v>
      </c>
      <c r="F120" s="9" t="n">
        <f aca="false">C120-C119</f>
        <v>0.16</v>
      </c>
      <c r="G120" s="9" t="n">
        <f aca="false">D108</f>
        <v>0.55</v>
      </c>
      <c r="H120" s="8" t="n">
        <v>0</v>
      </c>
      <c r="I120" s="8" t="n">
        <v>2019</v>
      </c>
      <c r="J120" s="8" t="n">
        <v>8</v>
      </c>
    </row>
    <row r="121" customFormat="false" ht="15" hidden="false" customHeight="false" outlineLevel="0" collapsed="false">
      <c r="A121" s="11" t="n">
        <v>43709</v>
      </c>
      <c r="B121" s="13" t="n">
        <v>1.74</v>
      </c>
      <c r="C121" s="13" t="n">
        <v>2.43</v>
      </c>
      <c r="D121" s="13" t="n">
        <f aca="false">B121-C109</f>
        <v>-2.55</v>
      </c>
      <c r="E121" s="16" t="n">
        <f aca="false">D121^2</f>
        <v>6.5025</v>
      </c>
      <c r="F121" s="13" t="n">
        <f aca="false">C121-C120</f>
        <v>0.02</v>
      </c>
      <c r="G121" s="13" t="n">
        <f aca="false">D109</f>
        <v>-0.31</v>
      </c>
      <c r="H121" s="12" t="n">
        <v>0</v>
      </c>
      <c r="I121" s="12" t="n">
        <v>2019</v>
      </c>
      <c r="J121" s="12" t="n">
        <v>9</v>
      </c>
    </row>
    <row r="122" customFormat="false" ht="15" hidden="false" customHeight="false" outlineLevel="0" collapsed="false">
      <c r="A122" s="7" t="n">
        <v>43739</v>
      </c>
      <c r="B122" s="9" t="n">
        <v>2.01</v>
      </c>
      <c r="C122" s="9" t="n">
        <v>2.49</v>
      </c>
      <c r="D122" s="9" t="n">
        <f aca="false">B122-C110</f>
        <v>-2.13</v>
      </c>
      <c r="E122" s="15" t="n">
        <f aca="false">D122^2</f>
        <v>4.5369</v>
      </c>
      <c r="F122" s="9" t="n">
        <f aca="false">C122-C121</f>
        <v>0.0600000000000001</v>
      </c>
      <c r="G122" s="9" t="n">
        <f aca="false">D110</f>
        <v>-0.74</v>
      </c>
      <c r="H122" s="8" t="n">
        <v>0</v>
      </c>
      <c r="I122" s="8" t="n">
        <v>2019</v>
      </c>
      <c r="J122" s="8" t="n">
        <v>10</v>
      </c>
    </row>
    <row r="123" customFormat="false" ht="15" hidden="false" customHeight="false" outlineLevel="0" collapsed="false">
      <c r="A123" s="11" t="n">
        <v>43770</v>
      </c>
      <c r="B123" s="13" t="n">
        <v>3.17</v>
      </c>
      <c r="C123" s="13" t="n">
        <v>2.71</v>
      </c>
      <c r="D123" s="13" t="n">
        <f aca="false">B123-C111</f>
        <v>-0.63</v>
      </c>
      <c r="E123" s="16" t="n">
        <f aca="false">D123^2</f>
        <v>0.3969</v>
      </c>
      <c r="F123" s="13" t="n">
        <f aca="false">C123-C122</f>
        <v>0.22</v>
      </c>
      <c r="G123" s="13" t="n">
        <f aca="false">D111</f>
        <v>-2.5</v>
      </c>
      <c r="H123" s="12" t="n">
        <v>0</v>
      </c>
      <c r="I123" s="12" t="n">
        <v>2019</v>
      </c>
      <c r="J123" s="12" t="n">
        <v>11</v>
      </c>
    </row>
    <row r="124" customFormat="false" ht="15" hidden="false" customHeight="false" outlineLevel="0" collapsed="false">
      <c r="A124" s="7" t="n">
        <v>43800</v>
      </c>
      <c r="B124" s="9" t="n">
        <v>3.66</v>
      </c>
      <c r="C124" s="9" t="n">
        <v>2.77</v>
      </c>
      <c r="D124" s="9" t="n">
        <f aca="false">B124-C112</f>
        <v>0.12</v>
      </c>
      <c r="E124" s="15" t="n">
        <f aca="false">D124^2</f>
        <v>0.0144</v>
      </c>
      <c r="F124" s="9" t="n">
        <f aca="false">C124-C123</f>
        <v>0.0600000000000001</v>
      </c>
      <c r="G124" s="9" t="n">
        <f aca="false">D112</f>
        <v>-2.84</v>
      </c>
      <c r="H124" s="8" t="n">
        <v>0</v>
      </c>
      <c r="I124" s="8" t="n">
        <v>2019</v>
      </c>
      <c r="J124" s="8" t="n">
        <v>12</v>
      </c>
    </row>
    <row r="125" customFormat="false" ht="15" hidden="false" customHeight="false" outlineLevel="0" collapsed="false">
      <c r="A125" s="11" t="n">
        <v>43831</v>
      </c>
      <c r="B125" s="13" t="n">
        <v>4.07</v>
      </c>
      <c r="C125" s="13" t="n">
        <v>2.96</v>
      </c>
      <c r="D125" s="13" t="n">
        <f aca="false">B125-C113</f>
        <v>1.08</v>
      </c>
      <c r="E125" s="16" t="n">
        <f aca="false">D125^2</f>
        <v>1.1664</v>
      </c>
      <c r="F125" s="13" t="n">
        <f aca="false">C125-C124</f>
        <v>0.19</v>
      </c>
      <c r="G125" s="13" t="n">
        <f aca="false">D113</f>
        <v>-2.63</v>
      </c>
      <c r="H125" s="12" t="n">
        <v>0</v>
      </c>
      <c r="I125" s="12" t="n">
        <v>2020</v>
      </c>
      <c r="J125" s="12" t="n">
        <v>1</v>
      </c>
    </row>
    <row r="126" customFormat="false" ht="15" hidden="false" customHeight="false" outlineLevel="0" collapsed="false">
      <c r="A126" s="7" t="n">
        <v>43862</v>
      </c>
      <c r="B126" s="9" t="n">
        <v>4.12</v>
      </c>
      <c r="C126" s="9" t="n">
        <v>3.41</v>
      </c>
      <c r="D126" s="9" t="n">
        <f aca="false">B126-C114</f>
        <v>1.53</v>
      </c>
      <c r="E126" s="15" t="n">
        <f aca="false">D126^2</f>
        <v>2.3409</v>
      </c>
      <c r="F126" s="9" t="n">
        <f aca="false">C126-C125</f>
        <v>0.45</v>
      </c>
      <c r="G126" s="9" t="n">
        <f aca="false">D114</f>
        <v>-2.91</v>
      </c>
      <c r="H126" s="8" t="n">
        <v>0</v>
      </c>
      <c r="I126" s="8" t="n">
        <v>2020</v>
      </c>
      <c r="J126" s="8" t="n">
        <v>2</v>
      </c>
    </row>
    <row r="127" customFormat="false" ht="15" hidden="false" customHeight="false" outlineLevel="0" collapsed="false">
      <c r="A127" s="11" t="n">
        <v>43891</v>
      </c>
      <c r="B127" s="13" t="n">
        <v>3.27</v>
      </c>
      <c r="C127" s="13" t="n">
        <v>3.69</v>
      </c>
      <c r="D127" s="13" t="n">
        <f aca="false">B127-C115</f>
        <v>0.75</v>
      </c>
      <c r="E127" s="16" t="n">
        <f aca="false">D127^2</f>
        <v>0.5625</v>
      </c>
      <c r="F127" s="13" t="n">
        <f aca="false">C127-C126</f>
        <v>0.28</v>
      </c>
      <c r="G127" s="13" t="n">
        <f aca="false">D115</f>
        <v>-2.73</v>
      </c>
      <c r="H127" s="12" t="n">
        <v>1</v>
      </c>
      <c r="I127" s="12" t="n">
        <v>2020</v>
      </c>
      <c r="J127" s="12" t="n">
        <v>3</v>
      </c>
    </row>
    <row r="128" customFormat="false" ht="15" hidden="false" customHeight="false" outlineLevel="0" collapsed="false">
      <c r="A128" s="7" t="n">
        <v>43922</v>
      </c>
      <c r="B128" s="9" t="n">
        <v>1.75</v>
      </c>
      <c r="C128" s="9" t="n">
        <v>3.68</v>
      </c>
      <c r="D128" s="9" t="n">
        <f aca="false">B128-C116</f>
        <v>-0.63</v>
      </c>
      <c r="E128" s="15" t="n">
        <f aca="false">D128^2</f>
        <v>0.3969</v>
      </c>
      <c r="F128" s="9" t="n">
        <f aca="false">C128-C127</f>
        <v>-0.00999999999999979</v>
      </c>
      <c r="G128" s="9" t="n">
        <f aca="false">D116</f>
        <v>-2.59</v>
      </c>
      <c r="H128" s="8" t="n">
        <v>1</v>
      </c>
      <c r="I128" s="8" t="n">
        <v>2020</v>
      </c>
      <c r="J128" s="8" t="n">
        <v>4</v>
      </c>
    </row>
    <row r="129" customFormat="false" ht="15" hidden="false" customHeight="false" outlineLevel="0" collapsed="false">
      <c r="A129" s="11" t="n">
        <v>43952</v>
      </c>
      <c r="B129" s="13" t="n">
        <v>2.32</v>
      </c>
      <c r="C129" s="13" t="n">
        <v>3.71</v>
      </c>
      <c r="D129" s="13" t="n">
        <f aca="false">B129-C117</f>
        <v>0.18</v>
      </c>
      <c r="E129" s="16" t="n">
        <f aca="false">D129^2</f>
        <v>0.0323999999999999</v>
      </c>
      <c r="F129" s="13" t="n">
        <f aca="false">C129-C128</f>
        <v>0.0299999999999998</v>
      </c>
      <c r="G129" s="13" t="n">
        <f aca="false">D117</f>
        <v>-2.4</v>
      </c>
      <c r="H129" s="12" t="n">
        <v>1</v>
      </c>
      <c r="I129" s="12" t="n">
        <v>2020</v>
      </c>
      <c r="J129" s="12" t="n">
        <v>5</v>
      </c>
    </row>
    <row r="130" customFormat="false" ht="15" hidden="false" customHeight="false" outlineLevel="0" collapsed="false">
      <c r="A130" s="7" t="n">
        <v>43983</v>
      </c>
      <c r="B130" s="9" t="n">
        <v>2.94</v>
      </c>
      <c r="C130" s="9" t="n">
        <v>3.59</v>
      </c>
      <c r="D130" s="9" t="n">
        <f aca="false">B130-C118</f>
        <v>0.78</v>
      </c>
      <c r="E130" s="15" t="n">
        <f aca="false">D130^2</f>
        <v>0.6084</v>
      </c>
      <c r="F130" s="9" t="n">
        <f aca="false">C130-C129</f>
        <v>-0.12</v>
      </c>
      <c r="G130" s="9" t="n">
        <f aca="false">D118</f>
        <v>-2.79</v>
      </c>
      <c r="H130" s="8" t="n">
        <v>1</v>
      </c>
      <c r="I130" s="8" t="n">
        <v>2020</v>
      </c>
      <c r="J130" s="8" t="n">
        <v>6</v>
      </c>
    </row>
    <row r="131" customFormat="false" ht="15" hidden="false" customHeight="false" outlineLevel="0" collapsed="false">
      <c r="A131" s="11" t="n">
        <v>44013</v>
      </c>
      <c r="B131" s="13" t="n">
        <v>3.18</v>
      </c>
      <c r="C131" s="13" t="n">
        <v>3.32</v>
      </c>
      <c r="D131" s="13" t="n">
        <f aca="false">B131-C119</f>
        <v>0.93</v>
      </c>
      <c r="E131" s="16" t="n">
        <f aca="false">D131^2</f>
        <v>0.8649</v>
      </c>
      <c r="F131" s="13" t="n">
        <f aca="false">C131-C130</f>
        <v>-0.27</v>
      </c>
      <c r="G131" s="13" t="n">
        <f aca="false">D119</f>
        <v>-3.07</v>
      </c>
      <c r="H131" s="12" t="n">
        <v>1</v>
      </c>
      <c r="I131" s="12" t="n">
        <v>2020</v>
      </c>
      <c r="J131" s="12" t="n">
        <v>7</v>
      </c>
    </row>
    <row r="132" customFormat="false" ht="15" hidden="false" customHeight="false" outlineLevel="0" collapsed="false">
      <c r="A132" s="7" t="n">
        <v>44044</v>
      </c>
      <c r="B132" s="9" t="n">
        <v>3.85</v>
      </c>
      <c r="C132" s="9" t="n">
        <v>3.32</v>
      </c>
      <c r="D132" s="9" t="n">
        <f aca="false">B132-C120</f>
        <v>1.44</v>
      </c>
      <c r="E132" s="15" t="n">
        <f aca="false">D132^2</f>
        <v>2.0736</v>
      </c>
      <c r="F132" s="9" t="n">
        <f aca="false">C132-C131</f>
        <v>0</v>
      </c>
      <c r="G132" s="9" t="n">
        <f aca="false">D120</f>
        <v>-2.86</v>
      </c>
      <c r="H132" s="8" t="n">
        <v>1</v>
      </c>
      <c r="I132" s="8" t="n">
        <v>2020</v>
      </c>
      <c r="J132" s="8" t="n">
        <v>8</v>
      </c>
    </row>
    <row r="133" customFormat="false" ht="15" hidden="false" customHeight="false" outlineLevel="0" collapsed="false">
      <c r="A133" s="11" t="n">
        <v>44075</v>
      </c>
      <c r="B133" s="13" t="n">
        <v>4.39</v>
      </c>
      <c r="C133" s="13" t="n">
        <v>3.37</v>
      </c>
      <c r="D133" s="13" t="n">
        <f aca="false">B133-C121</f>
        <v>1.96</v>
      </c>
      <c r="E133" s="16" t="n">
        <f aca="false">D133^2</f>
        <v>3.8416</v>
      </c>
      <c r="F133" s="13" t="n">
        <f aca="false">C133-C132</f>
        <v>0.0500000000000003</v>
      </c>
      <c r="G133" s="13" t="n">
        <f aca="false">D121</f>
        <v>-2.55</v>
      </c>
      <c r="H133" s="12" t="n">
        <v>1</v>
      </c>
      <c r="I133" s="12" t="n">
        <v>2020</v>
      </c>
      <c r="J133" s="12" t="n">
        <v>9</v>
      </c>
    </row>
    <row r="134" customFormat="false" ht="15" hidden="false" customHeight="false" outlineLevel="0" collapsed="false">
      <c r="A134" s="7" t="n">
        <v>44105</v>
      </c>
      <c r="B134" s="9" t="n">
        <v>4.77</v>
      </c>
      <c r="C134" s="9" t="n">
        <v>3.46</v>
      </c>
      <c r="D134" s="9" t="n">
        <f aca="false">B134-C122</f>
        <v>2.28</v>
      </c>
      <c r="E134" s="15" t="n">
        <f aca="false">D134^2</f>
        <v>5.1984</v>
      </c>
      <c r="F134" s="9" t="n">
        <f aca="false">C134-C133</f>
        <v>0.0899999999999999</v>
      </c>
      <c r="G134" s="9" t="n">
        <f aca="false">D122</f>
        <v>-2.13</v>
      </c>
      <c r="H134" s="8" t="n">
        <v>1</v>
      </c>
      <c r="I134" s="8" t="n">
        <v>2020</v>
      </c>
      <c r="J134" s="8" t="n">
        <v>10</v>
      </c>
    </row>
    <row r="135" customFormat="false" ht="15" hidden="false" customHeight="false" outlineLevel="0" collapsed="false">
      <c r="A135" s="11" t="n">
        <v>44136</v>
      </c>
      <c r="B135" s="13" t="n">
        <v>5.4</v>
      </c>
      <c r="C135" s="13" t="n">
        <v>3.92</v>
      </c>
      <c r="D135" s="13" t="n">
        <f aca="false">B135-C123</f>
        <v>2.69</v>
      </c>
      <c r="E135" s="16" t="n">
        <f aca="false">D135^2</f>
        <v>7.2361</v>
      </c>
      <c r="F135" s="13" t="n">
        <f aca="false">C135-C134</f>
        <v>0.46</v>
      </c>
      <c r="G135" s="13" t="n">
        <f aca="false">D123</f>
        <v>-0.63</v>
      </c>
      <c r="H135" s="12" t="n">
        <v>1</v>
      </c>
      <c r="I135" s="12" t="n">
        <v>2020</v>
      </c>
      <c r="J135" s="12" t="n">
        <v>11</v>
      </c>
    </row>
    <row r="136" customFormat="false" ht="15" hidden="false" customHeight="false" outlineLevel="0" collapsed="false">
      <c r="A136" s="7" t="n">
        <v>44166</v>
      </c>
      <c r="B136" s="9" t="n">
        <v>5.55</v>
      </c>
      <c r="C136" s="9" t="n">
        <v>4.33</v>
      </c>
      <c r="D136" s="9" t="n">
        <f aca="false">B136-C124</f>
        <v>2.78</v>
      </c>
      <c r="E136" s="15" t="n">
        <f aca="false">D136^2</f>
        <v>7.7284</v>
      </c>
      <c r="F136" s="9" t="n">
        <f aca="false">C136-C135</f>
        <v>0.41</v>
      </c>
      <c r="G136" s="9" t="n">
        <f aca="false">D124</f>
        <v>0.12</v>
      </c>
      <c r="H136" s="8" t="n">
        <v>1</v>
      </c>
      <c r="I136" s="8" t="n">
        <v>2020</v>
      </c>
      <c r="J136" s="8" t="n">
        <v>12</v>
      </c>
    </row>
    <row r="137" customFormat="false" ht="15" hidden="false" customHeight="false" outlineLevel="0" collapsed="false">
      <c r="A137" s="11" t="n">
        <v>44197</v>
      </c>
      <c r="B137" s="13" t="n">
        <v>6.1</v>
      </c>
      <c r="C137" s="13" t="n">
        <v>4.62</v>
      </c>
      <c r="D137" s="13" t="n">
        <f aca="false">B137-C125</f>
        <v>3.14</v>
      </c>
      <c r="E137" s="16" t="n">
        <f aca="false">D137^2</f>
        <v>9.8596</v>
      </c>
      <c r="F137" s="13" t="n">
        <f aca="false">C137-C136</f>
        <v>0.29</v>
      </c>
      <c r="G137" s="13" t="n">
        <f aca="false">D125</f>
        <v>1.08</v>
      </c>
      <c r="H137" s="12" t="n">
        <v>1</v>
      </c>
      <c r="I137" s="12" t="n">
        <v>2021</v>
      </c>
      <c r="J137" s="12" t="n">
        <v>1</v>
      </c>
    </row>
    <row r="138" customFormat="false" ht="15" hidden="false" customHeight="false" outlineLevel="0" collapsed="false">
      <c r="A138" s="7" t="n">
        <v>44228</v>
      </c>
      <c r="B138" s="9" t="n">
        <v>6.36</v>
      </c>
      <c r="C138" s="9" t="n">
        <v>5.03</v>
      </c>
      <c r="D138" s="9" t="n">
        <f aca="false">B138-C126</f>
        <v>2.95</v>
      </c>
      <c r="E138" s="15" t="n">
        <f aca="false">D138^2</f>
        <v>8.7025</v>
      </c>
      <c r="F138" s="9" t="n">
        <f aca="false">C138-C137</f>
        <v>0.41</v>
      </c>
      <c r="G138" s="9" t="n">
        <f aca="false">D126</f>
        <v>1.53</v>
      </c>
      <c r="H138" s="8" t="n">
        <v>1</v>
      </c>
      <c r="I138" s="8" t="n">
        <v>2021</v>
      </c>
      <c r="J138" s="8" t="n">
        <v>2</v>
      </c>
    </row>
    <row r="139" customFormat="false" ht="15" hidden="false" customHeight="false" outlineLevel="0" collapsed="false">
      <c r="A139" s="11" t="n">
        <v>44256</v>
      </c>
      <c r="B139" s="13" t="n">
        <v>7.02</v>
      </c>
      <c r="C139" s="13" t="n">
        <v>5.09</v>
      </c>
      <c r="D139" s="13" t="n">
        <f aca="false">B139-C127</f>
        <v>3.33</v>
      </c>
      <c r="E139" s="16" t="n">
        <f aca="false">D139^2</f>
        <v>11.0889</v>
      </c>
      <c r="F139" s="13" t="n">
        <f aca="false">C139-C138</f>
        <v>0.0599999999999996</v>
      </c>
      <c r="G139" s="13" t="n">
        <f aca="false">D127</f>
        <v>0.75</v>
      </c>
      <c r="H139" s="12" t="n">
        <v>1</v>
      </c>
      <c r="I139" s="12" t="n">
        <v>2021</v>
      </c>
      <c r="J139" s="12" t="n">
        <v>3</v>
      </c>
    </row>
    <row r="140" customFormat="false" ht="15" hidden="false" customHeight="false" outlineLevel="0" collapsed="false">
      <c r="A140" s="7" t="n">
        <v>44287</v>
      </c>
      <c r="B140" s="9" t="n">
        <v>9.3</v>
      </c>
      <c r="C140" s="9" t="n">
        <v>5.42</v>
      </c>
      <c r="D140" s="9" t="n">
        <f aca="false">B140-C128</f>
        <v>5.62</v>
      </c>
      <c r="E140" s="15" t="n">
        <f aca="false">D140^2</f>
        <v>31.5844</v>
      </c>
      <c r="F140" s="9" t="n">
        <f aca="false">C140-C139</f>
        <v>0.33</v>
      </c>
      <c r="G140" s="9" t="n">
        <f aca="false">D128</f>
        <v>-0.63</v>
      </c>
      <c r="H140" s="8" t="n">
        <v>1</v>
      </c>
      <c r="I140" s="8" t="n">
        <v>2021</v>
      </c>
      <c r="J140" s="8" t="n">
        <v>4</v>
      </c>
    </row>
    <row r="141" customFormat="false" ht="15" hidden="false" customHeight="false" outlineLevel="0" collapsed="false">
      <c r="A141" s="11" t="n">
        <v>44317</v>
      </c>
      <c r="B141" s="13" t="n">
        <v>9.32</v>
      </c>
      <c r="C141" s="13" t="n">
        <v>5.95</v>
      </c>
      <c r="D141" s="13" t="n">
        <f aca="false">B141-C129</f>
        <v>5.61</v>
      </c>
      <c r="E141" s="16" t="n">
        <f aca="false">D141^2</f>
        <v>31.4721</v>
      </c>
      <c r="F141" s="13" t="n">
        <f aca="false">C141-C140</f>
        <v>0.53</v>
      </c>
      <c r="G141" s="13" t="n">
        <f aca="false">D129</f>
        <v>0.18</v>
      </c>
      <c r="H141" s="12" t="n">
        <v>1</v>
      </c>
      <c r="I141" s="12" t="n">
        <v>2021</v>
      </c>
      <c r="J141" s="12" t="n">
        <v>5</v>
      </c>
    </row>
    <row r="142" customFormat="false" ht="15" hidden="false" customHeight="false" outlineLevel="0" collapsed="false">
      <c r="A142" s="7" t="n">
        <v>44348</v>
      </c>
      <c r="B142" s="9" t="n">
        <v>8.68</v>
      </c>
      <c r="C142" s="9" t="n">
        <v>6.3</v>
      </c>
      <c r="D142" s="9" t="n">
        <f aca="false">B142-C130</f>
        <v>5.09</v>
      </c>
      <c r="E142" s="15" t="n">
        <f aca="false">D142^2</f>
        <v>25.9081</v>
      </c>
      <c r="F142" s="9" t="n">
        <f aca="false">C142-C141</f>
        <v>0.35</v>
      </c>
      <c r="G142" s="9" t="n">
        <f aca="false">D130</f>
        <v>0.78</v>
      </c>
      <c r="H142" s="8" t="n">
        <v>1</v>
      </c>
      <c r="I142" s="8" t="n">
        <v>2021</v>
      </c>
      <c r="J142" s="8" t="n">
        <v>6</v>
      </c>
    </row>
    <row r="143" customFormat="false" ht="15" hidden="false" customHeight="false" outlineLevel="0" collapsed="false">
      <c r="A143" s="11" t="n">
        <v>44378</v>
      </c>
      <c r="B143" s="13" t="n">
        <v>7.93</v>
      </c>
      <c r="C143" s="13" t="n">
        <v>6.68</v>
      </c>
      <c r="D143" s="13" t="n">
        <f aca="false">B143-C131</f>
        <v>4.61</v>
      </c>
      <c r="E143" s="16" t="n">
        <f aca="false">D143^2</f>
        <v>21.2521</v>
      </c>
      <c r="F143" s="13" t="n">
        <f aca="false">C143-C142</f>
        <v>0.38</v>
      </c>
      <c r="G143" s="13" t="n">
        <f aca="false">D131</f>
        <v>0.93</v>
      </c>
      <c r="H143" s="12" t="n">
        <v>1</v>
      </c>
      <c r="I143" s="12" t="n">
        <v>2021</v>
      </c>
      <c r="J143" s="12" t="n">
        <v>7</v>
      </c>
    </row>
    <row r="144" customFormat="false" ht="15" hidden="false" customHeight="false" outlineLevel="0" collapsed="false">
      <c r="A144" s="7" t="n">
        <v>44409</v>
      </c>
      <c r="B144" s="9" t="n">
        <v>7.73</v>
      </c>
      <c r="C144" s="9" t="n">
        <v>6.76</v>
      </c>
      <c r="D144" s="9" t="n">
        <f aca="false">B144-C132</f>
        <v>4.41</v>
      </c>
      <c r="E144" s="15" t="n">
        <f aca="false">D144^2</f>
        <v>19.4481</v>
      </c>
      <c r="F144" s="9" t="n">
        <f aca="false">C144-C143</f>
        <v>0.0800000000000001</v>
      </c>
      <c r="G144" s="9" t="n">
        <f aca="false">D132</f>
        <v>1.44</v>
      </c>
      <c r="H144" s="8" t="n">
        <v>1</v>
      </c>
      <c r="I144" s="8" t="n">
        <v>2021</v>
      </c>
      <c r="J144" s="8" t="n">
        <v>8</v>
      </c>
    </row>
    <row r="145" customFormat="false" ht="15" hidden="false" customHeight="false" outlineLevel="0" collapsed="false">
      <c r="A145" s="11" t="n">
        <v>44440</v>
      </c>
      <c r="B145" s="13" t="n">
        <v>7.72</v>
      </c>
      <c r="C145" s="13" t="n">
        <v>6.71</v>
      </c>
      <c r="D145" s="13" t="n">
        <f aca="false">B145-C133</f>
        <v>4.35</v>
      </c>
      <c r="E145" s="16" t="n">
        <f aca="false">D145^2</f>
        <v>18.9225</v>
      </c>
      <c r="F145" s="13" t="n">
        <f aca="false">C145-C144</f>
        <v>-0.0499999999999998</v>
      </c>
      <c r="G145" s="13" t="n">
        <f aca="false">D133</f>
        <v>1.96</v>
      </c>
      <c r="H145" s="12" t="n">
        <v>1</v>
      </c>
      <c r="I145" s="12" t="n">
        <v>2021</v>
      </c>
      <c r="J145" s="12" t="n">
        <v>9</v>
      </c>
    </row>
    <row r="146" customFormat="false" ht="15" hidden="false" customHeight="false" outlineLevel="0" collapsed="false">
      <c r="A146" s="7" t="n">
        <v>44470</v>
      </c>
      <c r="B146" s="9" t="n">
        <v>7.72</v>
      </c>
      <c r="C146" s="9" t="n">
        <v>6.73</v>
      </c>
      <c r="D146" s="9" t="n">
        <f aca="false">B146-C134</f>
        <v>4.26</v>
      </c>
      <c r="E146" s="15" t="n">
        <f aca="false">D146^2</f>
        <v>18.1476</v>
      </c>
      <c r="F146" s="9" t="n">
        <f aca="false">C146-C145</f>
        <v>0.0200000000000005</v>
      </c>
      <c r="G146" s="9" t="n">
        <f aca="false">D134</f>
        <v>2.28</v>
      </c>
      <c r="H146" s="8" t="n">
        <v>1</v>
      </c>
      <c r="I146" s="8" t="n">
        <v>2021</v>
      </c>
      <c r="J146" s="8" t="n">
        <v>10</v>
      </c>
    </row>
    <row r="147" customFormat="false" ht="15" hidden="false" customHeight="false" outlineLevel="0" collapsed="false">
      <c r="A147" s="11" t="n">
        <v>44501</v>
      </c>
      <c r="B147" s="13" t="n">
        <v>8.23</v>
      </c>
      <c r="C147" s="13" t="n">
        <v>6.66</v>
      </c>
      <c r="D147" s="13" t="n">
        <f aca="false">B147-C135</f>
        <v>4.31</v>
      </c>
      <c r="E147" s="16" t="n">
        <f aca="false">D147^2</f>
        <v>18.5761</v>
      </c>
      <c r="F147" s="13" t="n">
        <f aca="false">C147-C146</f>
        <v>-0.0700000000000003</v>
      </c>
      <c r="G147" s="13" t="n">
        <f aca="false">D135</f>
        <v>2.69</v>
      </c>
      <c r="H147" s="12" t="n">
        <v>1</v>
      </c>
      <c r="I147" s="12" t="n">
        <v>2021</v>
      </c>
      <c r="J147" s="12" t="n">
        <v>11</v>
      </c>
    </row>
    <row r="148" customFormat="false" ht="15" hidden="false" customHeight="false" outlineLevel="0" collapsed="false">
      <c r="A148" s="7" t="n">
        <v>44531</v>
      </c>
      <c r="B148" s="9" t="n">
        <v>8.5</v>
      </c>
      <c r="C148" s="9" t="n">
        <v>6.54</v>
      </c>
      <c r="D148" s="9" t="n">
        <f aca="false">B148-C136</f>
        <v>4.17</v>
      </c>
      <c r="E148" s="15" t="n">
        <f aca="false">D148^2</f>
        <v>17.3889</v>
      </c>
      <c r="F148" s="9" t="n">
        <f aca="false">C148-C147</f>
        <v>-0.12</v>
      </c>
      <c r="G148" s="9" t="n">
        <f aca="false">D136</f>
        <v>2.78</v>
      </c>
      <c r="H148" s="8" t="n">
        <v>1</v>
      </c>
      <c r="I148" s="8" t="n">
        <v>2021</v>
      </c>
      <c r="J148" s="8" t="n">
        <v>12</v>
      </c>
    </row>
    <row r="149" customFormat="false" ht="15" hidden="false" customHeight="false" outlineLevel="0" collapsed="false">
      <c r="A149" s="11" t="n">
        <v>44562</v>
      </c>
      <c r="B149" s="13" t="n">
        <v>8.73</v>
      </c>
      <c r="C149" s="13" t="n">
        <v>6.63</v>
      </c>
      <c r="D149" s="13" t="n">
        <f aca="false">B149-C137</f>
        <v>4.11</v>
      </c>
      <c r="E149" s="16" t="n">
        <f aca="false">D149^2</f>
        <v>16.8921</v>
      </c>
      <c r="F149" s="13" t="n">
        <f aca="false">C149-C148</f>
        <v>0.0899999999999999</v>
      </c>
      <c r="G149" s="13" t="n">
        <f aca="false">D137</f>
        <v>3.14</v>
      </c>
      <c r="H149" s="12" t="n">
        <v>1</v>
      </c>
      <c r="I149" s="12" t="n">
        <v>2022</v>
      </c>
      <c r="J149" s="12" t="n">
        <v>1</v>
      </c>
    </row>
    <row r="150" customFormat="false" ht="15" hidden="false" customHeight="false" outlineLevel="0" collapsed="false">
      <c r="A150" s="7" t="n">
        <v>44593</v>
      </c>
      <c r="B150" s="9" t="n">
        <v>9.05</v>
      </c>
      <c r="C150" s="9" t="n">
        <v>6.78</v>
      </c>
      <c r="D150" s="9" t="n">
        <f aca="false">B150-C138</f>
        <v>4.02</v>
      </c>
      <c r="E150" s="15" t="n">
        <f aca="false">D150^2</f>
        <v>16.1604</v>
      </c>
      <c r="F150" s="9" t="n">
        <f aca="false">C150-C149</f>
        <v>0.15</v>
      </c>
      <c r="G150" s="9" t="n">
        <f aca="false">D138</f>
        <v>2.95</v>
      </c>
      <c r="H150" s="8" t="n">
        <v>1</v>
      </c>
      <c r="I150" s="8" t="n">
        <v>2022</v>
      </c>
      <c r="J150" s="8" t="n">
        <v>2</v>
      </c>
    </row>
    <row r="151" customFormat="false" ht="15" hidden="false" customHeight="false" outlineLevel="0" collapsed="false">
      <c r="A151" s="11" t="n">
        <v>44621</v>
      </c>
      <c r="B151" s="13" t="n">
        <v>9.05</v>
      </c>
      <c r="C151" s="13" t="n">
        <v>6.94</v>
      </c>
      <c r="D151" s="13" t="n">
        <f aca="false">B151-C139</f>
        <v>3.96</v>
      </c>
      <c r="E151" s="16" t="n">
        <f aca="false">D151^2</f>
        <v>15.6816</v>
      </c>
      <c r="F151" s="13" t="n">
        <f aca="false">C151-C150</f>
        <v>0.16</v>
      </c>
      <c r="G151" s="13" t="n">
        <f aca="false">D139</f>
        <v>3.33</v>
      </c>
      <c r="H151" s="12" t="n">
        <v>1</v>
      </c>
      <c r="I151" s="12" t="n">
        <v>2022</v>
      </c>
      <c r="J151" s="12" t="n">
        <v>3</v>
      </c>
    </row>
    <row r="152" customFormat="false" ht="15" hidden="false" customHeight="false" outlineLevel="0" collapsed="false">
      <c r="A152" s="7" t="n">
        <v>44652</v>
      </c>
      <c r="B152" s="9" t="n">
        <v>9.64</v>
      </c>
      <c r="C152" s="9" t="n">
        <v>7.2</v>
      </c>
      <c r="D152" s="9" t="n">
        <f aca="false">B152-C140</f>
        <v>4.22</v>
      </c>
      <c r="E152" s="15" t="n">
        <f aca="false">D152^2</f>
        <v>17.8084</v>
      </c>
      <c r="F152" s="9" t="n">
        <f aca="false">C152-C151</f>
        <v>0.26</v>
      </c>
      <c r="G152" s="9" t="n">
        <f aca="false">D140</f>
        <v>5.62</v>
      </c>
      <c r="H152" s="8" t="n">
        <v>1</v>
      </c>
      <c r="I152" s="8" t="n">
        <v>2022</v>
      </c>
      <c r="J152" s="8" t="n">
        <v>4</v>
      </c>
    </row>
    <row r="153" customFormat="false" ht="15" hidden="false" customHeight="false" outlineLevel="0" collapsed="false">
      <c r="A153" s="11" t="n">
        <v>44682</v>
      </c>
      <c r="B153" s="13" t="n">
        <v>9.47</v>
      </c>
      <c r="C153" s="13" t="n">
        <v>7.25</v>
      </c>
      <c r="D153" s="13" t="n">
        <f aca="false">B153-C141</f>
        <v>3.52</v>
      </c>
      <c r="E153" s="16" t="n">
        <f aca="false">D153^2</f>
        <v>12.3904</v>
      </c>
      <c r="F153" s="13" t="n">
        <f aca="false">C153-C152</f>
        <v>0.0499999999999998</v>
      </c>
      <c r="G153" s="13" t="n">
        <f aca="false">D141</f>
        <v>5.61</v>
      </c>
      <c r="H153" s="12" t="n">
        <v>1</v>
      </c>
      <c r="I153" s="12" t="n">
        <v>2022</v>
      </c>
      <c r="J153" s="12" t="n">
        <v>5</v>
      </c>
    </row>
    <row r="154" customFormat="false" ht="15" hidden="false" customHeight="false" outlineLevel="0" collapsed="false">
      <c r="A154" s="7" t="n">
        <v>44713</v>
      </c>
      <c r="B154" s="9" t="n">
        <v>9.32</v>
      </c>
      <c r="C154" s="9" t="n">
        <v>7.25</v>
      </c>
      <c r="D154" s="9" t="n">
        <f aca="false">B154-C142</f>
        <v>3.02</v>
      </c>
      <c r="E154" s="15" t="n">
        <f aca="false">D154^2</f>
        <v>9.1204</v>
      </c>
      <c r="F154" s="9" t="n">
        <f aca="false">C154-C153</f>
        <v>0</v>
      </c>
      <c r="G154" s="9" t="n">
        <f aca="false">D142</f>
        <v>5.09</v>
      </c>
      <c r="H154" s="8" t="n">
        <v>1</v>
      </c>
      <c r="I154" s="8" t="n">
        <v>2022</v>
      </c>
      <c r="J154" s="8" t="n">
        <v>6</v>
      </c>
    </row>
    <row r="155" customFormat="false" ht="15" hidden="false" customHeight="false" outlineLevel="0" collapsed="false">
      <c r="A155" s="11" t="n">
        <v>44743</v>
      </c>
      <c r="B155" s="13" t="n">
        <v>8.8</v>
      </c>
      <c r="C155" s="13" t="n">
        <v>7.39</v>
      </c>
      <c r="D155" s="13" t="n">
        <f aca="false">B155-C143</f>
        <v>2.12</v>
      </c>
      <c r="E155" s="16" t="n">
        <f aca="false">D155^2</f>
        <v>4.4944</v>
      </c>
      <c r="F155" s="13" t="n">
        <f aca="false">C155-C154</f>
        <v>0.14</v>
      </c>
      <c r="G155" s="13" t="n">
        <f aca="false">D143</f>
        <v>4.61</v>
      </c>
      <c r="H155" s="12" t="n">
        <v>1</v>
      </c>
      <c r="I155" s="12" t="n">
        <v>2022</v>
      </c>
      <c r="J155" s="12" t="n">
        <v>7</v>
      </c>
    </row>
    <row r="156" customFormat="false" ht="15" hidden="false" customHeight="false" outlineLevel="0" collapsed="false">
      <c r="A156" s="7" t="n">
        <v>44774</v>
      </c>
      <c r="B156" s="9" t="n">
        <v>8.8</v>
      </c>
      <c r="C156" s="9" t="n">
        <v>7.46</v>
      </c>
      <c r="D156" s="9" t="n">
        <f aca="false">B156-C144</f>
        <v>2.04</v>
      </c>
      <c r="E156" s="15" t="n">
        <f aca="false">D156^2</f>
        <v>4.1616</v>
      </c>
      <c r="F156" s="9" t="n">
        <f aca="false">C156-C155</f>
        <v>0.0700000000000003</v>
      </c>
      <c r="G156" s="9" t="n">
        <f aca="false">D144</f>
        <v>4.41</v>
      </c>
      <c r="H156" s="8" t="n">
        <v>1</v>
      </c>
      <c r="I156" s="8" t="n">
        <v>2022</v>
      </c>
      <c r="J156" s="8" t="n">
        <v>8</v>
      </c>
    </row>
    <row r="157" customFormat="false" ht="15" hidden="false" customHeight="false" outlineLevel="0" collapsed="false">
      <c r="A157" s="11" t="n">
        <v>44805</v>
      </c>
      <c r="B157" s="13" t="n">
        <v>8.62</v>
      </c>
      <c r="C157" s="13" t="n">
        <v>7.41</v>
      </c>
      <c r="D157" s="13" t="n">
        <f aca="false">B157-C145</f>
        <v>1.91</v>
      </c>
      <c r="E157" s="16" t="n">
        <f aca="false">D157^2</f>
        <v>3.6481</v>
      </c>
      <c r="F157" s="13" t="n">
        <f aca="false">C157-C156</f>
        <v>-0.0499999999999998</v>
      </c>
      <c r="G157" s="13" t="n">
        <f aca="false">D145</f>
        <v>4.35</v>
      </c>
      <c r="H157" s="12" t="n">
        <v>1</v>
      </c>
      <c r="I157" s="12" t="n">
        <v>2022</v>
      </c>
      <c r="J157" s="12" t="n">
        <v>9</v>
      </c>
    </row>
    <row r="158" customFormat="false" ht="15" hidden="false" customHeight="false" outlineLevel="0" collapsed="false">
      <c r="A158" s="7" t="n">
        <v>44835</v>
      </c>
      <c r="B158" s="9" t="n">
        <v>8.24</v>
      </c>
      <c r="C158" s="9" t="n">
        <v>7.43</v>
      </c>
      <c r="D158" s="9" t="n">
        <f aca="false">B158-C146</f>
        <v>1.51</v>
      </c>
      <c r="E158" s="15" t="n">
        <f aca="false">D158^2</f>
        <v>2.2801</v>
      </c>
      <c r="F158" s="9" t="n">
        <f aca="false">C158-C157</f>
        <v>0.0199999999999996</v>
      </c>
      <c r="G158" s="9" t="n">
        <f aca="false">D146</f>
        <v>4.26</v>
      </c>
      <c r="H158" s="8" t="n">
        <v>1</v>
      </c>
      <c r="I158" s="8" t="n">
        <v>2022</v>
      </c>
      <c r="J158" s="8" t="n">
        <v>10</v>
      </c>
    </row>
    <row r="159" customFormat="false" ht="15" hidden="false" customHeight="false" outlineLevel="0" collapsed="false">
      <c r="A159" s="11" t="n">
        <v>44866</v>
      </c>
      <c r="B159" s="13" t="n">
        <v>7.55</v>
      </c>
      <c r="C159" s="13" t="n">
        <v>7.38</v>
      </c>
      <c r="D159" s="13" t="n">
        <f aca="false">B159-C147</f>
        <v>0.89</v>
      </c>
      <c r="E159" s="16" t="n">
        <f aca="false">D159^2</f>
        <v>0.7921</v>
      </c>
      <c r="F159" s="13" t="n">
        <f aca="false">C159-C158</f>
        <v>-0.0499999999999998</v>
      </c>
      <c r="G159" s="13" t="n">
        <f aca="false">D147</f>
        <v>4.31</v>
      </c>
      <c r="H159" s="12" t="n">
        <v>1</v>
      </c>
      <c r="I159" s="12" t="n">
        <v>2022</v>
      </c>
      <c r="J159" s="12" t="n">
        <v>11</v>
      </c>
    </row>
    <row r="160" customFormat="false" ht="15" hidden="false" customHeight="false" outlineLevel="0" collapsed="false">
      <c r="A160" s="7" t="n">
        <v>44896</v>
      </c>
      <c r="B160" s="9" t="n">
        <v>7.83</v>
      </c>
      <c r="C160" s="9" t="n">
        <v>6.89</v>
      </c>
      <c r="D160" s="9" t="n">
        <f aca="false">B160-C148</f>
        <v>1.29</v>
      </c>
      <c r="E160" s="15" t="n">
        <f aca="false">D160^2</f>
        <v>1.6641</v>
      </c>
      <c r="F160" s="9" t="n">
        <f aca="false">C160-C159</f>
        <v>-0.49</v>
      </c>
      <c r="G160" s="9" t="n">
        <f aca="false">D148</f>
        <v>4.17</v>
      </c>
      <c r="H160" s="8" t="n">
        <v>1</v>
      </c>
      <c r="I160" s="8" t="n">
        <v>2022</v>
      </c>
      <c r="J160" s="8" t="n">
        <v>12</v>
      </c>
    </row>
    <row r="161" customFormat="false" ht="15" hidden="false" customHeight="false" outlineLevel="0" collapsed="false">
      <c r="A161" s="11" t="n">
        <v>44927</v>
      </c>
      <c r="B161" s="13" t="n">
        <v>7.55</v>
      </c>
      <c r="C161" s="13" t="n">
        <v>6.6</v>
      </c>
      <c r="D161" s="13" t="n">
        <f aca="false">B161-C149</f>
        <v>0.92</v>
      </c>
      <c r="E161" s="16" t="n">
        <f aca="false">D161^2</f>
        <v>0.8464</v>
      </c>
      <c r="F161" s="13" t="n">
        <f aca="false">C161-C160</f>
        <v>-0.29</v>
      </c>
      <c r="G161" s="13" t="n">
        <f aca="false">D149</f>
        <v>4.11</v>
      </c>
      <c r="H161" s="12" t="n">
        <v>0</v>
      </c>
      <c r="I161" s="12" t="n">
        <v>2023</v>
      </c>
      <c r="J161" s="12" t="n">
        <v>1</v>
      </c>
    </row>
    <row r="162" customFormat="false" ht="15" hidden="false" customHeight="false" outlineLevel="0" collapsed="false">
      <c r="A162" s="7" t="n">
        <v>44958</v>
      </c>
      <c r="B162" s="9" t="n">
        <v>6.13</v>
      </c>
      <c r="C162" s="9" t="n">
        <v>6.52</v>
      </c>
      <c r="D162" s="9" t="n">
        <f aca="false">B162-C150</f>
        <v>-0.65</v>
      </c>
      <c r="E162" s="15" t="n">
        <f aca="false">D162^2</f>
        <v>0.422500000000001</v>
      </c>
      <c r="F162" s="9" t="n">
        <f aca="false">C162-C161</f>
        <v>-0.0800000000000001</v>
      </c>
      <c r="G162" s="9" t="n">
        <f aca="false">D150</f>
        <v>4.02</v>
      </c>
      <c r="H162" s="8" t="n">
        <v>0</v>
      </c>
      <c r="I162" s="8" t="n">
        <v>2023</v>
      </c>
      <c r="J162" s="8" t="n">
        <v>2</v>
      </c>
    </row>
    <row r="163" customFormat="false" ht="15" hidden="false" customHeight="false" outlineLevel="0" collapsed="false">
      <c r="A163" s="11" t="n">
        <v>44986</v>
      </c>
      <c r="B163" s="13" t="n">
        <v>5.82</v>
      </c>
      <c r="C163" s="13" t="n">
        <v>6.13</v>
      </c>
      <c r="D163" s="13" t="n">
        <f aca="false">B163-C151</f>
        <v>-1.12</v>
      </c>
      <c r="E163" s="16" t="n">
        <f aca="false">D163^2</f>
        <v>1.2544</v>
      </c>
      <c r="F163" s="13" t="n">
        <f aca="false">C163-C162</f>
        <v>-0.39</v>
      </c>
      <c r="G163" s="13" t="n">
        <f aca="false">D151</f>
        <v>3.96</v>
      </c>
      <c r="H163" s="12" t="n">
        <v>0</v>
      </c>
      <c r="I163" s="12" t="n">
        <v>2023</v>
      </c>
      <c r="J163" s="12" t="n">
        <v>3</v>
      </c>
    </row>
    <row r="164" customFormat="false" ht="15" hidden="false" customHeight="false" outlineLevel="0" collapsed="false">
      <c r="A164" s="7" t="n">
        <v>45017</v>
      </c>
      <c r="B164" s="9" t="n">
        <v>5.15</v>
      </c>
      <c r="C164" s="9" t="n">
        <v>5.67</v>
      </c>
      <c r="D164" s="9" t="n">
        <f aca="false">B164-C152</f>
        <v>-2.05</v>
      </c>
      <c r="E164" s="15" t="n">
        <f aca="false">D164^2</f>
        <v>4.2025</v>
      </c>
      <c r="F164" s="9" t="n">
        <f aca="false">C164-C163</f>
        <v>-0.46</v>
      </c>
      <c r="G164" s="9" t="n">
        <f aca="false">D152</f>
        <v>4.22</v>
      </c>
      <c r="H164" s="8" t="n">
        <v>0</v>
      </c>
      <c r="I164" s="8" t="n">
        <v>2023</v>
      </c>
      <c r="J164" s="8" t="n">
        <v>4</v>
      </c>
    </row>
    <row r="165" customFormat="false" ht="15" hidden="false" customHeight="false" outlineLevel="0" collapsed="false">
      <c r="A165" s="11" t="n">
        <v>45047</v>
      </c>
      <c r="B165" s="13" t="n">
        <v>4.43</v>
      </c>
      <c r="C165" s="13" t="n">
        <v>5.21</v>
      </c>
      <c r="D165" s="13" t="n">
        <f aca="false">B165-C153</f>
        <v>-2.82</v>
      </c>
      <c r="E165" s="16" t="n">
        <f aca="false">D165^2</f>
        <v>7.9524</v>
      </c>
      <c r="F165" s="13" t="n">
        <f aca="false">C165-C164</f>
        <v>-0.46</v>
      </c>
      <c r="G165" s="13" t="n">
        <f aca="false">D153</f>
        <v>3.52</v>
      </c>
      <c r="H165" s="12" t="n">
        <v>0</v>
      </c>
      <c r="I165" s="12" t="n">
        <v>2023</v>
      </c>
      <c r="J165" s="12" t="n">
        <v>5</v>
      </c>
    </row>
    <row r="166" customFormat="false" ht="15" hidden="false" customHeight="false" outlineLevel="0" collapsed="false">
      <c r="A166" s="7" t="n">
        <v>45078</v>
      </c>
      <c r="B166" s="9" t="n">
        <v>4</v>
      </c>
      <c r="C166" s="9" t="n">
        <v>4.96</v>
      </c>
      <c r="D166" s="9" t="n">
        <f aca="false">B166-C154</f>
        <v>-3.25</v>
      </c>
      <c r="E166" s="15" t="n">
        <f aca="false">D166^2</f>
        <v>10.5625</v>
      </c>
      <c r="F166" s="9" t="n">
        <f aca="false">C166-C165</f>
        <v>-0.25</v>
      </c>
      <c r="G166" s="9" t="n">
        <f aca="false">D154</f>
        <v>3.02</v>
      </c>
      <c r="H166" s="8" t="n">
        <v>0</v>
      </c>
      <c r="I166" s="8" t="n">
        <v>2023</v>
      </c>
      <c r="J166" s="8" t="n">
        <v>6</v>
      </c>
    </row>
    <row r="167" customFormat="false" ht="15" hidden="false" customHeight="false" outlineLevel="0" collapsed="false">
      <c r="A167" s="11" t="n">
        <v>45108</v>
      </c>
      <c r="B167" s="13" t="n">
        <v>3.95</v>
      </c>
      <c r="C167" s="13" t="n">
        <v>4.73</v>
      </c>
      <c r="D167" s="13" t="n">
        <f aca="false">B167-C155</f>
        <v>-3.44</v>
      </c>
      <c r="E167" s="16" t="n">
        <f aca="false">D167^2</f>
        <v>11.8336</v>
      </c>
      <c r="F167" s="13" t="n">
        <f aca="false">C167-C166</f>
        <v>-0.23</v>
      </c>
      <c r="G167" s="13" t="n">
        <f aca="false">D155</f>
        <v>2.12</v>
      </c>
      <c r="H167" s="12" t="n">
        <v>0</v>
      </c>
      <c r="I167" s="12" t="n">
        <v>2023</v>
      </c>
      <c r="J167" s="12" t="n">
        <v>7</v>
      </c>
    </row>
    <row r="168" customFormat="false" ht="15" hidden="false" customHeight="false" outlineLevel="0" collapsed="false">
      <c r="A168" s="7" t="n">
        <v>45139</v>
      </c>
      <c r="B168" s="9" t="n">
        <v>4.04</v>
      </c>
      <c r="C168" s="9" t="n">
        <v>4.47</v>
      </c>
      <c r="D168" s="9" t="n">
        <f aca="false">B168-C156</f>
        <v>-3.42</v>
      </c>
      <c r="E168" s="15" t="n">
        <f aca="false">D168^2</f>
        <v>11.6964</v>
      </c>
      <c r="F168" s="9" t="n">
        <f aca="false">C168-C167</f>
        <v>-0.260000000000001</v>
      </c>
      <c r="G168" s="9" t="n">
        <f aca="false">D156</f>
        <v>2.04</v>
      </c>
      <c r="H168" s="8" t="n">
        <v>0</v>
      </c>
      <c r="I168" s="8" t="n">
        <v>2023</v>
      </c>
      <c r="J168" s="8" t="n">
        <v>8</v>
      </c>
    </row>
    <row r="169" customFormat="false" ht="15" hidden="false" customHeight="false" outlineLevel="0" collapsed="false">
      <c r="A169" s="11" t="n">
        <v>45170</v>
      </c>
      <c r="B169" s="13" t="n">
        <v>3.91</v>
      </c>
      <c r="C169" s="13" t="n">
        <v>4.27</v>
      </c>
      <c r="D169" s="13" t="n">
        <f aca="false">B169-C157</f>
        <v>-3.5</v>
      </c>
      <c r="E169" s="16" t="n">
        <f aca="false">D169^2</f>
        <v>12.25</v>
      </c>
      <c r="F169" s="13" t="n">
        <f aca="false">C169-C168</f>
        <v>-0.2</v>
      </c>
      <c r="G169" s="13" t="n">
        <f aca="false">D157</f>
        <v>1.91</v>
      </c>
      <c r="H169" s="12" t="n">
        <v>0</v>
      </c>
      <c r="I169" s="12" t="n">
        <v>2023</v>
      </c>
      <c r="J169" s="12" t="n">
        <v>9</v>
      </c>
    </row>
    <row r="170" customFormat="false" ht="15" hidden="false" customHeight="false" outlineLevel="0" collapsed="false">
      <c r="A170" s="7" t="n">
        <v>45200</v>
      </c>
      <c r="B170" s="9" t="n">
        <v>3.82</v>
      </c>
      <c r="C170" s="9" t="n">
        <v>4.15</v>
      </c>
      <c r="D170" s="9" t="n">
        <f aca="false">B170-C158</f>
        <v>-3.61</v>
      </c>
      <c r="E170" s="15" t="n">
        <f aca="false">D170^2</f>
        <v>13.0321</v>
      </c>
      <c r="F170" s="9" t="n">
        <f aca="false">C170-C169</f>
        <v>-0.119999999999999</v>
      </c>
      <c r="G170" s="9" t="n">
        <f aca="false">D158</f>
        <v>1.51</v>
      </c>
      <c r="H170" s="8" t="n">
        <v>0</v>
      </c>
      <c r="I170" s="8" t="n">
        <v>2023</v>
      </c>
      <c r="J170" s="8" t="n">
        <v>10</v>
      </c>
    </row>
    <row r="171" customFormat="false" ht="15" hidden="false" customHeight="false" outlineLevel="0" collapsed="false">
      <c r="A171" s="11" t="n">
        <v>45231</v>
      </c>
      <c r="B171" s="13" t="n">
        <v>3.45</v>
      </c>
      <c r="C171" s="13" t="n">
        <v>4.16</v>
      </c>
      <c r="D171" s="13" t="n">
        <f aca="false">B171-C159</f>
        <v>-3.93</v>
      </c>
      <c r="E171" s="16" t="n">
        <f aca="false">D171^2</f>
        <v>15.4449</v>
      </c>
      <c r="F171" s="13" t="n">
        <f aca="false">C171-C170</f>
        <v>0.00999999999999979</v>
      </c>
      <c r="G171" s="13" t="n">
        <f aca="false">D159</f>
        <v>0.89</v>
      </c>
      <c r="H171" s="12" t="n">
        <v>0</v>
      </c>
      <c r="I171" s="12" t="n">
        <v>2023</v>
      </c>
      <c r="J171" s="12" t="n">
        <v>11</v>
      </c>
    </row>
    <row r="172" customFormat="false" ht="15" hidden="false" customHeight="false" outlineLevel="0" collapsed="false">
      <c r="A172" s="7" t="n">
        <v>45261</v>
      </c>
      <c r="B172" s="9" t="n">
        <v>3.57</v>
      </c>
      <c r="C172" s="9" t="n">
        <v>3.94</v>
      </c>
      <c r="D172" s="9" t="n">
        <f aca="false">B172-C160</f>
        <v>-3.32</v>
      </c>
      <c r="E172" s="15" t="n">
        <f aca="false">D172^2</f>
        <v>11.0224</v>
      </c>
      <c r="F172" s="9" t="n">
        <f aca="false">C172-C171</f>
        <v>-0.22</v>
      </c>
      <c r="G172" s="9" t="n">
        <f aca="false">D160</f>
        <v>1.29</v>
      </c>
      <c r="H172" s="8" t="n">
        <v>0</v>
      </c>
      <c r="I172" s="8" t="n">
        <v>2023</v>
      </c>
      <c r="J172" s="8" t="n">
        <v>12</v>
      </c>
    </row>
    <row r="173" customFormat="false" ht="15" hidden="false" customHeight="false" outlineLevel="0" collapsed="false">
      <c r="A173" s="11" t="n">
        <v>45292</v>
      </c>
      <c r="B173" s="13" t="n">
        <v>3.46</v>
      </c>
      <c r="C173" s="13" t="n">
        <v>3.72</v>
      </c>
      <c r="D173" s="13" t="n">
        <f aca="false">B173-C161</f>
        <v>-3.14</v>
      </c>
      <c r="E173" s="16" t="n">
        <f aca="false">D173^2</f>
        <v>9.8596</v>
      </c>
      <c r="F173" s="13" t="n">
        <f aca="false">C173-C172</f>
        <v>-0.22</v>
      </c>
      <c r="G173" s="13" t="n">
        <f aca="false">D161</f>
        <v>0.92</v>
      </c>
      <c r="H173" s="12" t="n">
        <v>0</v>
      </c>
      <c r="I173" s="12" t="n">
        <v>2024</v>
      </c>
      <c r="J173" s="12" t="n">
        <v>1</v>
      </c>
    </row>
    <row r="174" customFormat="false" ht="15" hidden="false" customHeight="false" outlineLevel="0" collapsed="false">
      <c r="A174" s="7" t="n">
        <v>45323</v>
      </c>
      <c r="B174" s="9" t="n">
        <v>3.25</v>
      </c>
      <c r="C174" s="9" t="n">
        <v>3.85</v>
      </c>
      <c r="D174" s="9" t="n">
        <f aca="false">B174-C162</f>
        <v>-3.27</v>
      </c>
      <c r="E174" s="15" t="n">
        <f aca="false">D174^2</f>
        <v>10.6929</v>
      </c>
      <c r="F174" s="9" t="n">
        <f aca="false">C174-C173</f>
        <v>0.13</v>
      </c>
      <c r="G174" s="9" t="n">
        <f aca="false">D162</f>
        <v>-0.65</v>
      </c>
      <c r="H174" s="8" t="n">
        <v>0</v>
      </c>
      <c r="I174" s="8" t="n">
        <v>2024</v>
      </c>
      <c r="J174" s="8" t="n">
        <v>2</v>
      </c>
    </row>
    <row r="175" customFormat="false" ht="15" hidden="false" customHeight="false" outlineLevel="0" collapsed="false">
      <c r="A175" s="11" t="n">
        <v>45352</v>
      </c>
      <c r="B175" s="13" t="n">
        <v>3.13</v>
      </c>
      <c r="C175" s="13" t="n">
        <v>3.74</v>
      </c>
      <c r="D175" s="13" t="n">
        <f aca="false">B175-C163</f>
        <v>-3</v>
      </c>
      <c r="E175" s="16" t="n">
        <f aca="false">D175^2</f>
        <v>9</v>
      </c>
      <c r="F175" s="13" t="n">
        <f aca="false">C175-C174</f>
        <v>-0.11</v>
      </c>
      <c r="G175" s="13" t="n">
        <f aca="false">D163</f>
        <v>-1.12</v>
      </c>
      <c r="H175" s="12" t="n">
        <v>0</v>
      </c>
      <c r="I175" s="12" t="n">
        <v>2024</v>
      </c>
      <c r="J175" s="12" t="n">
        <v>3</v>
      </c>
    </row>
    <row r="176" customFormat="false" ht="15" hidden="false" customHeight="false" outlineLevel="0" collapsed="false">
      <c r="A176" s="7" t="n">
        <v>45383</v>
      </c>
      <c r="B176" s="9" t="n">
        <v>3.03</v>
      </c>
      <c r="C176" s="9" t="n">
        <v>3.69</v>
      </c>
      <c r="D176" s="9" t="n">
        <f aca="false">B176-C164</f>
        <v>-2.64</v>
      </c>
      <c r="E176" s="15" t="n">
        <f aca="false">D176^2</f>
        <v>6.9696</v>
      </c>
      <c r="F176" s="9" t="n">
        <f aca="false">C176-C175</f>
        <v>-0.0500000000000003</v>
      </c>
      <c r="G176" s="9" t="n">
        <f aca="false">D164</f>
        <v>-2.05</v>
      </c>
      <c r="H176" s="8" t="n">
        <v>0</v>
      </c>
      <c r="I176" s="8" t="n">
        <v>2024</v>
      </c>
      <c r="J176" s="8" t="n">
        <v>4</v>
      </c>
    </row>
    <row r="177" customFormat="false" ht="15" hidden="false" customHeight="false" outlineLevel="0" collapsed="false">
      <c r="A177" s="11" t="n">
        <v>45413</v>
      </c>
      <c r="B177" s="13" t="n">
        <v>3.16</v>
      </c>
      <c r="C177" s="13" t="n">
        <v>3.92</v>
      </c>
      <c r="D177" s="13" t="n">
        <f aca="false">B177-C165</f>
        <v>-2.05</v>
      </c>
      <c r="E177" s="16" t="n">
        <f aca="false">D177^2</f>
        <v>4.2025</v>
      </c>
      <c r="F177" s="13" t="n">
        <f aca="false">C177-C176</f>
        <v>0.23</v>
      </c>
      <c r="G177" s="13" t="n">
        <f aca="false">D165</f>
        <v>-2.82</v>
      </c>
      <c r="H177" s="12" t="n">
        <v>0</v>
      </c>
      <c r="I177" s="12" t="n">
        <v>2024</v>
      </c>
      <c r="J177" s="12" t="n">
        <v>5</v>
      </c>
    </row>
    <row r="178" customFormat="false" ht="15" hidden="false" customHeight="false" outlineLevel="0" collapsed="false">
      <c r="A178" s="7" t="n">
        <v>45444</v>
      </c>
      <c r="B178" s="9" t="n">
        <v>3.45</v>
      </c>
      <c r="C178" s="9" t="n">
        <v>3.7</v>
      </c>
      <c r="D178" s="9" t="n">
        <f aca="false">B178-C166</f>
        <v>-1.51</v>
      </c>
      <c r="E178" s="15" t="n">
        <f aca="false">D178^2</f>
        <v>2.2801</v>
      </c>
      <c r="F178" s="9" t="n">
        <f aca="false">C178-C177</f>
        <v>-0.22</v>
      </c>
      <c r="G178" s="9" t="n">
        <f aca="false">D166</f>
        <v>-3.25</v>
      </c>
      <c r="H178" s="8" t="n">
        <v>0</v>
      </c>
      <c r="I178" s="8" t="n">
        <v>2024</v>
      </c>
      <c r="J178" s="8" t="n">
        <v>6</v>
      </c>
    </row>
    <row r="179" customFormat="false" ht="15" hidden="false" customHeight="false" outlineLevel="0" collapsed="false">
      <c r="A179" s="11" t="n">
        <v>45474</v>
      </c>
      <c r="B179" s="13" t="n">
        <v>3.54</v>
      </c>
      <c r="C179" s="13" t="n">
        <v>3.5</v>
      </c>
      <c r="D179" s="13" t="n">
        <f aca="false">B179-C167</f>
        <v>-1.19</v>
      </c>
      <c r="E179" s="16" t="n">
        <f aca="false">D179^2</f>
        <v>1.4161</v>
      </c>
      <c r="F179" s="13" t="n">
        <f aca="false">C179-C178</f>
        <v>-0.2</v>
      </c>
      <c r="G179" s="13" t="n">
        <f aca="false">D167</f>
        <v>-3.44</v>
      </c>
      <c r="H179" s="12" t="n">
        <v>0</v>
      </c>
      <c r="I179" s="12" t="n">
        <v>2024</v>
      </c>
      <c r="J179" s="12" t="n">
        <v>7</v>
      </c>
    </row>
    <row r="180" customFormat="false" ht="15" hidden="false" customHeight="false" outlineLevel="0" collapsed="false">
      <c r="A180" s="7" t="n">
        <v>45505</v>
      </c>
      <c r="B180" s="9" t="n">
        <v>3.42</v>
      </c>
      <c r="C180" s="9" t="n">
        <v>3.59</v>
      </c>
      <c r="D180" s="9" t="n">
        <f aca="false">B180-C168</f>
        <v>-1.05</v>
      </c>
      <c r="E180" s="15" t="n">
        <f aca="false">D180^2</f>
        <v>1.1025</v>
      </c>
      <c r="F180" s="9" t="n">
        <f aca="false">C180-C179</f>
        <v>0.0899999999999999</v>
      </c>
      <c r="G180" s="9" t="n">
        <f aca="false">D168</f>
        <v>-3.42</v>
      </c>
      <c r="H180" s="8" t="n">
        <v>0</v>
      </c>
      <c r="I180" s="8" t="n">
        <v>2024</v>
      </c>
      <c r="J180" s="8" t="n">
        <v>8</v>
      </c>
    </row>
    <row r="181" customFormat="false" ht="15" hidden="false" customHeight="false" outlineLevel="0" collapsed="false">
      <c r="A181" s="11" t="n">
        <v>45536</v>
      </c>
      <c r="B181" s="13" t="n">
        <v>3.29</v>
      </c>
      <c r="C181" s="13" t="n">
        <v>3.47</v>
      </c>
      <c r="D181" s="13" t="n">
        <f aca="false">B181-C169</f>
        <v>-0.98</v>
      </c>
      <c r="E181" s="16" t="n">
        <f aca="false">D181^2</f>
        <v>0.960399999999999</v>
      </c>
      <c r="F181" s="13" t="n">
        <f aca="false">C181-C180</f>
        <v>-0.12</v>
      </c>
      <c r="G181" s="13" t="n">
        <f aca="false">D169</f>
        <v>-3.5</v>
      </c>
      <c r="H181" s="12" t="n">
        <v>0</v>
      </c>
      <c r="I181" s="12" t="n">
        <v>2024</v>
      </c>
      <c r="J181" s="12" t="n">
        <v>9</v>
      </c>
    </row>
    <row r="182" customFormat="false" ht="15" hidden="false" customHeight="false" outlineLevel="0" collapsed="false">
      <c r="A182" s="7" t="n">
        <v>45566</v>
      </c>
      <c r="B182" s="9" t="n">
        <v>3.16</v>
      </c>
      <c r="C182" s="9" t="n">
        <v>3.65</v>
      </c>
      <c r="D182" s="9" t="n">
        <f aca="false">B182-C170</f>
        <v>-0.99</v>
      </c>
      <c r="E182" s="15" t="n">
        <f aca="false">D182^2</f>
        <v>0.9801</v>
      </c>
      <c r="F182" s="9" t="n">
        <f aca="false">C182-C181</f>
        <v>0.18</v>
      </c>
      <c r="G182" s="9" t="n">
        <f aca="false">D170</f>
        <v>-3.61</v>
      </c>
      <c r="H182" s="8" t="n">
        <v>0</v>
      </c>
      <c r="I182" s="8" t="n">
        <v>2024</v>
      </c>
      <c r="J182" s="8" t="n">
        <v>10</v>
      </c>
    </row>
    <row r="183" customFormat="false" ht="15" hidden="false" customHeight="false" outlineLevel="0" collapsed="false">
      <c r="A183" s="11" t="n">
        <v>45597</v>
      </c>
      <c r="B183" s="13" t="n">
        <v>3.18</v>
      </c>
      <c r="C183" s="13" t="n">
        <v>3.57</v>
      </c>
      <c r="D183" s="13" t="n">
        <f aca="false">B183-C171</f>
        <v>-0.98</v>
      </c>
      <c r="E183" s="16" t="n">
        <f aca="false">D183^2</f>
        <v>0.9604</v>
      </c>
      <c r="F183" s="13" t="n">
        <f aca="false">C183-C182</f>
        <v>-0.0800000000000001</v>
      </c>
      <c r="G183" s="13" t="n">
        <f aca="false">D171</f>
        <v>-3.93</v>
      </c>
      <c r="H183" s="12" t="n">
        <v>0</v>
      </c>
      <c r="I183" s="12" t="n">
        <v>2024</v>
      </c>
      <c r="J183" s="12" t="n">
        <v>11</v>
      </c>
    </row>
    <row r="184" customFormat="false" ht="15" hidden="false" customHeight="false" outlineLevel="0" collapsed="false">
      <c r="A184" s="7" t="n">
        <v>45627</v>
      </c>
      <c r="B184" s="9" t="n">
        <v>3.35</v>
      </c>
      <c r="C184" s="9" t="n">
        <v>3.36</v>
      </c>
      <c r="D184" s="9" t="n">
        <f aca="false">B184-C172</f>
        <v>-0.59</v>
      </c>
      <c r="E184" s="15" t="n">
        <f aca="false">D184^2</f>
        <v>0.3481</v>
      </c>
      <c r="F184" s="9" t="n">
        <f aca="false">C184-C183</f>
        <v>-0.21</v>
      </c>
      <c r="G184" s="9" t="n">
        <f aca="false">D172</f>
        <v>-3.32</v>
      </c>
      <c r="H184" s="8" t="n">
        <v>0</v>
      </c>
      <c r="I184" s="8" t="n">
        <v>2024</v>
      </c>
      <c r="J184" s="8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2"/>
    <col collapsed="false" customWidth="true" hidden="false" outlineLevel="0" max="8" min="8" style="0" width="50"/>
  </cols>
  <sheetData>
    <row r="1" customFormat="false" ht="27.7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  <c r="H3" s="6" t="s">
        <v>65</v>
      </c>
    </row>
    <row r="4" customFormat="false" ht="15" hidden="false" customHeight="false" outlineLevel="0" collapsed="false">
      <c r="A4" s="8" t="s">
        <v>43</v>
      </c>
      <c r="B4" s="8" t="n">
        <f aca="false">COUNT(Datos_Mensuales!D2:D184)</f>
        <v>183</v>
      </c>
      <c r="C4" s="9" t="n">
        <f aca="false">AVERAGE(Datos_Mensuales!D2:D184)</f>
        <v>4.39273224043716</v>
      </c>
      <c r="D4" s="9" t="n">
        <f aca="false">MEDIAN(Datos_Mensuales!D2:D184)</f>
        <v>3.91</v>
      </c>
      <c r="E4" s="9" t="n">
        <f aca="false">STDEV(Datos_Mensuales!D2:D184)</f>
        <v>2.45895518985464</v>
      </c>
      <c r="F4" s="9" t="n">
        <f aca="false">MIN(Datos_Mensuales!D2:D184)</f>
        <v>0.04</v>
      </c>
      <c r="G4" s="9" t="n">
        <f aca="false">MAX(Datos_Mensuales!D2:D184)</f>
        <v>9.64</v>
      </c>
      <c r="H4" s="8" t="s">
        <v>66</v>
      </c>
    </row>
    <row r="5" customFormat="false" ht="15" hidden="false" customHeight="false" outlineLevel="0" collapsed="false">
      <c r="A5" s="12" t="s">
        <v>44</v>
      </c>
      <c r="B5" s="12" t="n">
        <f aca="false">COUNT(Datos_Mensuales!E2:E184)</f>
        <v>183</v>
      </c>
      <c r="C5" s="13" t="n">
        <f aca="false">AVERAGE(Datos_Mensuales!E2:E184)</f>
        <v>4.29459016393443</v>
      </c>
      <c r="D5" s="13" t="n">
        <f aca="false">MEDIAN(Datos_Mensuales!E2:E184)</f>
        <v>4.01</v>
      </c>
      <c r="E5" s="13" t="n">
        <f aca="false">STDEV(Datos_Mensuales!E2:E184)</f>
        <v>1.53664674217349</v>
      </c>
      <c r="F5" s="13" t="n">
        <f aca="false">MIN(Datos_Mensuales!E2:E184)</f>
        <v>1.6</v>
      </c>
      <c r="G5" s="13" t="n">
        <f aca="false">MAX(Datos_Mensuales!E2:E184)</f>
        <v>7.46</v>
      </c>
      <c r="H5" s="12" t="s">
        <v>67</v>
      </c>
    </row>
    <row r="6" customFormat="false" ht="15" hidden="false" customHeight="false" outlineLevel="0" collapsed="false">
      <c r="A6" s="8" t="s">
        <v>45</v>
      </c>
      <c r="B6" s="8" t="n">
        <f aca="false">COUNT(Datos_Mensuales!F2:F184)</f>
        <v>183</v>
      </c>
      <c r="C6" s="9" t="n">
        <f aca="false">AVERAGE(Datos_Mensuales!F2:F184)</f>
        <v>5.4344262295082</v>
      </c>
      <c r="D6" s="9" t="n">
        <f aca="false">MEDIAN(Datos_Mensuales!F2:F184)</f>
        <v>5.25</v>
      </c>
      <c r="E6" s="9" t="n">
        <f aca="false">STDEV(Datos_Mensuales!F2:F184)</f>
        <v>1.38543862763985</v>
      </c>
      <c r="F6" s="9" t="n">
        <f aca="false">MIN(Datos_Mensuales!F2:F184)</f>
        <v>3</v>
      </c>
      <c r="G6" s="9" t="n">
        <f aca="false">MAX(Datos_Mensuales!F2:F184)</f>
        <v>8.5</v>
      </c>
      <c r="H6" s="8" t="s">
        <v>68</v>
      </c>
    </row>
    <row r="7" customFormat="false" ht="15" hidden="false" customHeight="false" outlineLevel="0" collapsed="false">
      <c r="A7" s="12" t="s">
        <v>69</v>
      </c>
      <c r="B7" s="12" t="n">
        <f aca="false">COUNT(Datos_Mensuales!G2:G184)</f>
        <v>183</v>
      </c>
      <c r="C7" s="13" t="n">
        <f aca="false">AVERAGE(Datos_Mensuales!G2:G184)</f>
        <v>48.0169398907104</v>
      </c>
      <c r="D7" s="13" t="n">
        <f aca="false">MEDIAN(Datos_Mensuales!G2:G184)</f>
        <v>47.45</v>
      </c>
      <c r="E7" s="13" t="n">
        <f aca="false">STDEV(Datos_Mensuales!G2:G184)</f>
        <v>7.42649603322669</v>
      </c>
      <c r="F7" s="13" t="n">
        <f aca="false">MIN(Datos_Mensuales!G2:G184)</f>
        <v>36.05</v>
      </c>
      <c r="G7" s="13" t="n">
        <f aca="false">MAX(Datos_Mensuales!G2:G184)</f>
        <v>60.8</v>
      </c>
      <c r="H7" s="12" t="s">
        <v>70</v>
      </c>
    </row>
    <row r="8" customFormat="false" ht="15" hidden="false" customHeight="false" outlineLevel="0" collapsed="false">
      <c r="A8" s="8" t="s">
        <v>47</v>
      </c>
      <c r="B8" s="8" t="n">
        <f aca="false">COUNT(Datos_Mensuales!H2:H184)</f>
        <v>171</v>
      </c>
      <c r="C8" s="9" t="n">
        <f aca="false">AVERAGE(Datos_Mensuales!H2:H184)</f>
        <v>3.52345029239766</v>
      </c>
      <c r="D8" s="9" t="n">
        <f aca="false">MEDIAN(Datos_Mensuales!H2:H184)</f>
        <v>3.33</v>
      </c>
      <c r="E8" s="9" t="n">
        <f aca="false">STDEV(Datos_Mensuales!H2:H184)</f>
        <v>3.38961551205641</v>
      </c>
      <c r="F8" s="9" t="n">
        <f aca="false">MIN(Datos_Mensuales!H2:H184)</f>
        <v>-5.89</v>
      </c>
      <c r="G8" s="9" t="n">
        <f aca="false">MAX(Datos_Mensuales!H2:H184)</f>
        <v>13.84</v>
      </c>
      <c r="H8" s="8" t="s">
        <v>71</v>
      </c>
    </row>
    <row r="9" customFormat="false" ht="15" hidden="false" customHeight="false" outlineLevel="0" collapsed="false">
      <c r="A9" s="12" t="s">
        <v>48</v>
      </c>
      <c r="B9" s="12" t="n">
        <f aca="false">COUNT(Datos_Mensuales!I2:I184)</f>
        <v>183</v>
      </c>
      <c r="C9" s="13" t="n">
        <f aca="false">AVERAGE(Datos_Mensuales!I2:I184)</f>
        <v>5.00273224043716</v>
      </c>
      <c r="D9" s="13" t="n">
        <f aca="false">MEDIAN(Datos_Mensuales!I2:I184)</f>
        <v>5</v>
      </c>
      <c r="E9" s="13" t="n">
        <f aca="false">STDEV(Datos_Mensuales!I2:I184)</f>
        <v>5.40312721510758</v>
      </c>
      <c r="F9" s="13" t="n">
        <f aca="false">MIN(Datos_Mensuales!I2:I184)</f>
        <v>-29.8</v>
      </c>
      <c r="G9" s="13" t="n">
        <f aca="false">MAX(Datos_Mensuales!I2:I184)</f>
        <v>47.1</v>
      </c>
      <c r="H9" s="12" t="s">
        <v>72</v>
      </c>
    </row>
    <row r="12" customFormat="false" ht="15" hidden="false" customHeight="false" outlineLevel="0" collapsed="false">
      <c r="A12" s="17" t="s">
        <v>73</v>
      </c>
    </row>
    <row r="13" customFormat="false" ht="15" hidden="false" customHeight="false" outlineLevel="0" collapsed="false">
      <c r="A13" s="18" t="s">
        <v>74</v>
      </c>
      <c r="B13" s="18" t="s">
        <v>60</v>
      </c>
      <c r="C13" s="18" t="s">
        <v>75</v>
      </c>
      <c r="D13" s="18" t="s">
        <v>76</v>
      </c>
      <c r="E13" s="18" t="s">
        <v>77</v>
      </c>
    </row>
    <row r="14" customFormat="false" ht="15" hidden="false" customHeight="false" outlineLevel="0" collapsed="false">
      <c r="A14" s="19" t="s">
        <v>78</v>
      </c>
      <c r="B14" s="20" t="n">
        <f aca="false">AVERAGE(Datos_Mensuales!D2:D126)</f>
        <v>3.772</v>
      </c>
      <c r="C14" s="20" t="n">
        <f aca="false">STDEV(Datos_Mensuales!D2:D126)</f>
        <v>2.2166514269021</v>
      </c>
      <c r="D14" s="20" t="n">
        <f aca="false">MIN(Datos_Mensuales!D2:D126)</f>
        <v>0.04</v>
      </c>
      <c r="E14" s="20" t="n">
        <f aca="false">MAX(Datos_Mensuales!D2:D126)</f>
        <v>9.01</v>
      </c>
    </row>
    <row r="15" customFormat="false" ht="15" hidden="false" customHeight="false" outlineLevel="0" collapsed="false">
      <c r="A15" s="18" t="s">
        <v>79</v>
      </c>
      <c r="B15" s="18" t="s">
        <v>60</v>
      </c>
      <c r="C15" s="18" t="s">
        <v>75</v>
      </c>
      <c r="D15" s="18" t="s">
        <v>76</v>
      </c>
      <c r="E15" s="18" t="s">
        <v>77</v>
      </c>
    </row>
    <row r="16" customFormat="false" ht="15" hidden="false" customHeight="false" outlineLevel="0" collapsed="false">
      <c r="A16" s="19" t="s">
        <v>78</v>
      </c>
      <c r="B16" s="20" t="n">
        <f aca="false">AVERAGE(Datos_Mensuales!D127:D184)</f>
        <v>5.73051724137931</v>
      </c>
      <c r="C16" s="20" t="n">
        <f aca="false">STDEV(Datos_Mensuales!D127:D184)</f>
        <v>2.43948543784379</v>
      </c>
      <c r="D16" s="20" t="n">
        <f aca="false">MIN(Datos_Mensuales!D127:D184)</f>
        <v>1.75</v>
      </c>
      <c r="E16" s="20" t="n">
        <f aca="false">MAX(Datos_Mensuales!D127:D184)</f>
        <v>9.64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2026-04-27T20:19:31Z</dcterms:created>
  <dc:creator>openpyxl</dc:creator>
  <dc:description/>
  <dc:language>en-US</dc:language>
  <cp:lastModifiedBy/>
  <dcterms:modified xsi:type="dcterms:W3CDTF">2026-04-27T20:19:38Z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